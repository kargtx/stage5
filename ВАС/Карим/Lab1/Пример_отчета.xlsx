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Рамиль\Desktop\"/>
    </mc:Choice>
  </mc:AlternateContent>
  <bookViews>
    <workbookView xWindow="0" yWindow="0" windowWidth="20490" windowHeight="7665" activeTab="6"/>
  </bookViews>
  <sheets>
    <sheet name="1" sheetId="4" r:id="rId1"/>
    <sheet name="2" sheetId="5" r:id="rId2"/>
    <sheet name="3" sheetId="6" r:id="rId3"/>
    <sheet name="4" sheetId="7" r:id="rId4"/>
    <sheet name="5" sheetId="1" r:id="rId5"/>
    <sheet name="6" sheetId="2" r:id="rId6"/>
    <sheet name="7" sheetId="3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I8" i="1"/>
  <c r="I9" i="1" s="1"/>
  <c r="I10" i="1" l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M4" i="3"/>
  <c r="I3" i="3" a="1"/>
  <c r="I3" i="3"/>
  <c r="J3" i="3"/>
  <c r="K4" i="3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5" i="2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7" i="1"/>
  <c r="C8" i="1" l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7" i="1"/>
  <c r="B8" i="1"/>
  <c r="E8" i="1" s="1"/>
  <c r="B9" i="1"/>
  <c r="E9" i="1" s="1"/>
  <c r="B10" i="1"/>
  <c r="B11" i="1"/>
  <c r="B12" i="1"/>
  <c r="E12" i="1" s="1"/>
  <c r="B13" i="1"/>
  <c r="E13" i="1" s="1"/>
  <c r="B14" i="1"/>
  <c r="B15" i="1"/>
  <c r="B16" i="1"/>
  <c r="E16" i="1" s="1"/>
  <c r="B17" i="1"/>
  <c r="E17" i="1" s="1"/>
  <c r="B18" i="1"/>
  <c r="B19" i="1"/>
  <c r="B20" i="1"/>
  <c r="E20" i="1" s="1"/>
  <c r="B21" i="1"/>
  <c r="E21" i="1" s="1"/>
  <c r="B22" i="1"/>
  <c r="B23" i="1"/>
  <c r="B24" i="1"/>
  <c r="E24" i="1" s="1"/>
  <c r="B25" i="1"/>
  <c r="E25" i="1" s="1"/>
  <c r="B26" i="1"/>
  <c r="B27" i="1"/>
  <c r="B28" i="1"/>
  <c r="E28" i="1" s="1"/>
  <c r="B29" i="1"/>
  <c r="E29" i="1" s="1"/>
  <c r="B30" i="1"/>
  <c r="B31" i="1"/>
  <c r="B32" i="1"/>
  <c r="E32" i="1" s="1"/>
  <c r="B33" i="1"/>
  <c r="E33" i="1" s="1"/>
  <c r="B34" i="1"/>
  <c r="B35" i="1"/>
  <c r="B36" i="1"/>
  <c r="E36" i="1" s="1"/>
  <c r="B37" i="1"/>
  <c r="E37" i="1" s="1"/>
  <c r="B38" i="1"/>
  <c r="B39" i="1"/>
  <c r="B40" i="1"/>
  <c r="E40" i="1" s="1"/>
  <c r="B41" i="1"/>
  <c r="E41" i="1" s="1"/>
  <c r="B42" i="1"/>
  <c r="B43" i="1"/>
  <c r="B44" i="1"/>
  <c r="E44" i="1" s="1"/>
  <c r="B45" i="1"/>
  <c r="E45" i="1" s="1"/>
  <c r="B46" i="1"/>
  <c r="B47" i="1"/>
  <c r="B48" i="1"/>
  <c r="E48" i="1" s="1"/>
  <c r="B49" i="1"/>
  <c r="E49" i="1" s="1"/>
  <c r="B50" i="1"/>
  <c r="B51" i="1"/>
  <c r="B52" i="1"/>
  <c r="E52" i="1" s="1"/>
  <c r="B53" i="1"/>
  <c r="E53" i="1" s="1"/>
  <c r="B54" i="1"/>
  <c r="B55" i="1"/>
  <c r="B56" i="1"/>
  <c r="E56" i="1" s="1"/>
  <c r="B57" i="1"/>
  <c r="E57" i="1" s="1"/>
  <c r="B58" i="1"/>
  <c r="B59" i="1"/>
  <c r="B60" i="1"/>
  <c r="E60" i="1" s="1"/>
  <c r="B61" i="1"/>
  <c r="E61" i="1" s="1"/>
  <c r="B62" i="1"/>
  <c r="B63" i="1"/>
  <c r="B64" i="1"/>
  <c r="E64" i="1" s="1"/>
  <c r="B65" i="1"/>
  <c r="E65" i="1" s="1"/>
  <c r="B66" i="1"/>
  <c r="B67" i="1"/>
  <c r="B68" i="1"/>
  <c r="E68" i="1" s="1"/>
  <c r="B69" i="1"/>
  <c r="E69" i="1" s="1"/>
  <c r="B70" i="1"/>
  <c r="B71" i="1"/>
  <c r="B72" i="1"/>
  <c r="E72" i="1" s="1"/>
  <c r="B73" i="1"/>
  <c r="E73" i="1" s="1"/>
  <c r="B74" i="1"/>
  <c r="B75" i="1"/>
  <c r="B76" i="1"/>
  <c r="E76" i="1" s="1"/>
  <c r="B77" i="1"/>
  <c r="E77" i="1" s="1"/>
  <c r="B78" i="1"/>
  <c r="B79" i="1"/>
  <c r="B80" i="1"/>
  <c r="E80" i="1" s="1"/>
  <c r="B81" i="1"/>
  <c r="E81" i="1" s="1"/>
  <c r="B82" i="1"/>
  <c r="B83" i="1"/>
  <c r="B84" i="1"/>
  <c r="E84" i="1" s="1"/>
  <c r="B85" i="1"/>
  <c r="E85" i="1" s="1"/>
  <c r="B86" i="1"/>
  <c r="B87" i="1"/>
  <c r="B88" i="1"/>
  <c r="E88" i="1" s="1"/>
  <c r="B89" i="1"/>
  <c r="E89" i="1" s="1"/>
  <c r="B90" i="1"/>
  <c r="B91" i="1"/>
  <c r="B92" i="1"/>
  <c r="E92" i="1" s="1"/>
  <c r="B93" i="1"/>
  <c r="E93" i="1" s="1"/>
  <c r="B94" i="1"/>
  <c r="B95" i="1"/>
  <c r="B96" i="1"/>
  <c r="E96" i="1" s="1"/>
  <c r="B97" i="1"/>
  <c r="E97" i="1" s="1"/>
  <c r="B98" i="1"/>
  <c r="B99" i="1"/>
  <c r="B100" i="1"/>
  <c r="E100" i="1" s="1"/>
  <c r="B101" i="1"/>
  <c r="E101" i="1" s="1"/>
  <c r="B102" i="1"/>
  <c r="B103" i="1"/>
  <c r="B104" i="1"/>
  <c r="E104" i="1" s="1"/>
  <c r="B105" i="1"/>
  <c r="E105" i="1" s="1"/>
  <c r="B106" i="1"/>
  <c r="B107" i="1"/>
  <c r="B108" i="1"/>
  <c r="E108" i="1" s="1"/>
  <c r="B109" i="1"/>
  <c r="E109" i="1" s="1"/>
  <c r="B110" i="1"/>
  <c r="B111" i="1"/>
  <c r="B112" i="1"/>
  <c r="E112" i="1" s="1"/>
  <c r="B113" i="1"/>
  <c r="E113" i="1" s="1"/>
  <c r="B114" i="1"/>
  <c r="B115" i="1"/>
  <c r="B116" i="1"/>
  <c r="E116" i="1" s="1"/>
  <c r="B7" i="1"/>
  <c r="E7" i="1" s="1"/>
  <c r="I7" i="1" l="1"/>
  <c r="J8" i="1"/>
  <c r="G8" i="1"/>
  <c r="J106" i="1"/>
  <c r="H103" i="1"/>
  <c r="J90" i="1"/>
  <c r="H87" i="1"/>
  <c r="J74" i="1"/>
  <c r="H71" i="1"/>
  <c r="G58" i="1"/>
  <c r="H55" i="1"/>
  <c r="J42" i="1"/>
  <c r="G26" i="1"/>
  <c r="G10" i="1"/>
  <c r="J105" i="1"/>
  <c r="G105" i="1"/>
  <c r="J101" i="1"/>
  <c r="G101" i="1"/>
  <c r="H102" i="1"/>
  <c r="G89" i="1"/>
  <c r="J85" i="1"/>
  <c r="G85" i="1"/>
  <c r="H86" i="1"/>
  <c r="J73" i="1"/>
  <c r="J69" i="1"/>
  <c r="G69" i="1"/>
  <c r="H70" i="1"/>
  <c r="J57" i="1"/>
  <c r="G57" i="1"/>
  <c r="J53" i="1"/>
  <c r="G53" i="1"/>
  <c r="H54" i="1"/>
  <c r="G49" i="1"/>
  <c r="G41" i="1"/>
  <c r="G37" i="1"/>
  <c r="J33" i="1"/>
  <c r="G25" i="1"/>
  <c r="H26" i="1"/>
  <c r="G21" i="1"/>
  <c r="J9" i="1"/>
  <c r="G9" i="1"/>
  <c r="E115" i="1"/>
  <c r="H114" i="1" s="1"/>
  <c r="E111" i="1"/>
  <c r="E107" i="1"/>
  <c r="E103" i="1"/>
  <c r="E99" i="1"/>
  <c r="E95" i="1"/>
  <c r="E91" i="1"/>
  <c r="E87" i="1"/>
  <c r="E83" i="1"/>
  <c r="E79" i="1"/>
  <c r="E75" i="1"/>
  <c r="E71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11" i="1"/>
  <c r="E114" i="1"/>
  <c r="E110" i="1"/>
  <c r="E106" i="1"/>
  <c r="E102" i="1"/>
  <c r="E98" i="1"/>
  <c r="E94" i="1"/>
  <c r="E90" i="1"/>
  <c r="E86" i="1"/>
  <c r="E82" i="1"/>
  <c r="E78" i="1"/>
  <c r="E74" i="1"/>
  <c r="E70" i="1"/>
  <c r="E66" i="1"/>
  <c r="E62" i="1"/>
  <c r="E58" i="1"/>
  <c r="E54" i="1"/>
  <c r="E50" i="1"/>
  <c r="E46" i="1"/>
  <c r="E42" i="1"/>
  <c r="E38" i="1"/>
  <c r="E34" i="1"/>
  <c r="E30" i="1"/>
  <c r="E26" i="1"/>
  <c r="E22" i="1"/>
  <c r="E18" i="1"/>
  <c r="E14" i="1"/>
  <c r="E10" i="1"/>
  <c r="H16" i="1" l="1"/>
  <c r="J15" i="1"/>
  <c r="G15" i="1"/>
  <c r="H14" i="1"/>
  <c r="J14" i="1"/>
  <c r="H32" i="1"/>
  <c r="J31" i="1"/>
  <c r="G31" i="1"/>
  <c r="H30" i="1"/>
  <c r="H31" i="1"/>
  <c r="H48" i="1"/>
  <c r="J47" i="1"/>
  <c r="G47" i="1"/>
  <c r="H47" i="1"/>
  <c r="J45" i="1"/>
  <c r="H64" i="1"/>
  <c r="J63" i="1"/>
  <c r="G63" i="1"/>
  <c r="G61" i="1"/>
  <c r="H63" i="1"/>
  <c r="H62" i="1"/>
  <c r="H80" i="1"/>
  <c r="G79" i="1"/>
  <c r="J79" i="1"/>
  <c r="G77" i="1"/>
  <c r="H79" i="1"/>
  <c r="H78" i="1"/>
  <c r="H96" i="1"/>
  <c r="G95" i="1"/>
  <c r="J95" i="1"/>
  <c r="G93" i="1"/>
  <c r="H95" i="1"/>
  <c r="H94" i="1"/>
  <c r="H112" i="1"/>
  <c r="G111" i="1"/>
  <c r="J111" i="1"/>
  <c r="G109" i="1"/>
  <c r="H111" i="1"/>
  <c r="H110" i="1"/>
  <c r="J20" i="1"/>
  <c r="G20" i="1"/>
  <c r="H21" i="1"/>
  <c r="J36" i="1"/>
  <c r="G36" i="1"/>
  <c r="H37" i="1"/>
  <c r="J52" i="1"/>
  <c r="G52" i="1"/>
  <c r="H53" i="1"/>
  <c r="J68" i="1"/>
  <c r="G68" i="1"/>
  <c r="H69" i="1"/>
  <c r="J84" i="1"/>
  <c r="G84" i="1"/>
  <c r="H85" i="1"/>
  <c r="J100" i="1"/>
  <c r="G100" i="1"/>
  <c r="H101" i="1"/>
  <c r="J13" i="1"/>
  <c r="J93" i="1"/>
  <c r="H15" i="1"/>
  <c r="H35" i="1"/>
  <c r="J46" i="1"/>
  <c r="H67" i="1"/>
  <c r="J78" i="1"/>
  <c r="H99" i="1"/>
  <c r="J110" i="1"/>
  <c r="H20" i="1"/>
  <c r="G19" i="1"/>
  <c r="J19" i="1"/>
  <c r="G18" i="1"/>
  <c r="G17" i="1"/>
  <c r="H18" i="1"/>
  <c r="H36" i="1"/>
  <c r="J35" i="1"/>
  <c r="G35" i="1"/>
  <c r="G34" i="1"/>
  <c r="G33" i="1"/>
  <c r="H34" i="1"/>
  <c r="H52" i="1"/>
  <c r="J51" i="1"/>
  <c r="G51" i="1"/>
  <c r="G50" i="1"/>
  <c r="J49" i="1"/>
  <c r="H68" i="1"/>
  <c r="J67" i="1"/>
  <c r="G67" i="1"/>
  <c r="G66" i="1"/>
  <c r="J65" i="1"/>
  <c r="G65" i="1"/>
  <c r="H84" i="1"/>
  <c r="J83" i="1"/>
  <c r="G83" i="1"/>
  <c r="G82" i="1"/>
  <c r="J81" i="1"/>
  <c r="G81" i="1"/>
  <c r="H100" i="1"/>
  <c r="J99" i="1"/>
  <c r="G99" i="1"/>
  <c r="G98" i="1"/>
  <c r="J97" i="1"/>
  <c r="G97" i="1"/>
  <c r="J115" i="1"/>
  <c r="G115" i="1"/>
  <c r="G114" i="1"/>
  <c r="J113" i="1"/>
  <c r="G113" i="1"/>
  <c r="J24" i="1"/>
  <c r="G24" i="1"/>
  <c r="H25" i="1"/>
  <c r="G22" i="1"/>
  <c r="J40" i="1"/>
  <c r="G40" i="1"/>
  <c r="H41" i="1"/>
  <c r="G38" i="1"/>
  <c r="J17" i="1"/>
  <c r="H38" i="1"/>
  <c r="H46" i="1"/>
  <c r="J77" i="1"/>
  <c r="H98" i="1"/>
  <c r="J18" i="1"/>
  <c r="G30" i="1"/>
  <c r="H39" i="1"/>
  <c r="J50" i="1"/>
  <c r="G62" i="1"/>
  <c r="J82" i="1"/>
  <c r="G94" i="1"/>
  <c r="J114" i="1"/>
  <c r="H22" i="1"/>
  <c r="G29" i="1"/>
  <c r="G45" i="1"/>
  <c r="J61" i="1"/>
  <c r="H82" i="1"/>
  <c r="H19" i="1"/>
  <c r="J30" i="1"/>
  <c r="H51" i="1"/>
  <c r="J62" i="1"/>
  <c r="H83" i="1"/>
  <c r="J94" i="1"/>
  <c r="H12" i="1"/>
  <c r="J11" i="1"/>
  <c r="G11" i="1"/>
  <c r="J10" i="1"/>
  <c r="H10" i="1"/>
  <c r="H9" i="1"/>
  <c r="H11" i="1"/>
  <c r="H28" i="1"/>
  <c r="J27" i="1"/>
  <c r="G27" i="1"/>
  <c r="H27" i="1"/>
  <c r="J26" i="1"/>
  <c r="J25" i="1"/>
  <c r="H44" i="1"/>
  <c r="J43" i="1"/>
  <c r="G43" i="1"/>
  <c r="H43" i="1"/>
  <c r="G42" i="1"/>
  <c r="J41" i="1"/>
  <c r="H60" i="1"/>
  <c r="J59" i="1"/>
  <c r="G59" i="1"/>
  <c r="H59" i="1"/>
  <c r="H58" i="1"/>
  <c r="J58" i="1"/>
  <c r="H76" i="1"/>
  <c r="J75" i="1"/>
  <c r="G75" i="1"/>
  <c r="H75" i="1"/>
  <c r="H74" i="1"/>
  <c r="G74" i="1"/>
  <c r="H92" i="1"/>
  <c r="J91" i="1"/>
  <c r="G91" i="1"/>
  <c r="H91" i="1"/>
  <c r="H90" i="1"/>
  <c r="G90" i="1"/>
  <c r="H108" i="1"/>
  <c r="J107" i="1"/>
  <c r="G107" i="1"/>
  <c r="H107" i="1"/>
  <c r="H106" i="1"/>
  <c r="G106" i="1"/>
  <c r="J16" i="1"/>
  <c r="G16" i="1"/>
  <c r="H17" i="1"/>
  <c r="J32" i="1"/>
  <c r="G32" i="1"/>
  <c r="H33" i="1"/>
  <c r="J48" i="1"/>
  <c r="G48" i="1"/>
  <c r="H49" i="1"/>
  <c r="J64" i="1"/>
  <c r="G64" i="1"/>
  <c r="H65" i="1"/>
  <c r="J80" i="1"/>
  <c r="G80" i="1"/>
  <c r="H81" i="1"/>
  <c r="J96" i="1"/>
  <c r="G96" i="1"/>
  <c r="H97" i="1"/>
  <c r="J112" i="1"/>
  <c r="G112" i="1"/>
  <c r="H113" i="1"/>
  <c r="G13" i="1"/>
  <c r="J29" i="1"/>
  <c r="H42" i="1"/>
  <c r="H50" i="1"/>
  <c r="H66" i="1"/>
  <c r="G73" i="1"/>
  <c r="J89" i="1"/>
  <c r="J109" i="1"/>
  <c r="G14" i="1"/>
  <c r="H23" i="1"/>
  <c r="J34" i="1"/>
  <c r="G46" i="1"/>
  <c r="J66" i="1"/>
  <c r="G78" i="1"/>
  <c r="J98" i="1"/>
  <c r="G110" i="1"/>
  <c r="J56" i="1"/>
  <c r="G56" i="1"/>
  <c r="H57" i="1"/>
  <c r="J72" i="1"/>
  <c r="G72" i="1"/>
  <c r="H73" i="1"/>
  <c r="J88" i="1"/>
  <c r="G88" i="1"/>
  <c r="H89" i="1"/>
  <c r="J104" i="1"/>
  <c r="G104" i="1"/>
  <c r="H105" i="1"/>
  <c r="G54" i="1"/>
  <c r="G70" i="1"/>
  <c r="G86" i="1"/>
  <c r="G102" i="1"/>
  <c r="H24" i="1"/>
  <c r="J23" i="1"/>
  <c r="G23" i="1"/>
  <c r="H40" i="1"/>
  <c r="J39" i="1"/>
  <c r="G39" i="1"/>
  <c r="H56" i="1"/>
  <c r="J55" i="1"/>
  <c r="G55" i="1"/>
  <c r="H72" i="1"/>
  <c r="J71" i="1"/>
  <c r="G71" i="1"/>
  <c r="H88" i="1"/>
  <c r="G87" i="1"/>
  <c r="J87" i="1"/>
  <c r="H104" i="1"/>
  <c r="G103" i="1"/>
  <c r="J103" i="1"/>
  <c r="J12" i="1"/>
  <c r="G12" i="1"/>
  <c r="H13" i="1"/>
  <c r="J28" i="1"/>
  <c r="G28" i="1"/>
  <c r="H29" i="1"/>
  <c r="J44" i="1"/>
  <c r="G44" i="1"/>
  <c r="H45" i="1"/>
  <c r="J60" i="1"/>
  <c r="G60" i="1"/>
  <c r="H61" i="1"/>
  <c r="J76" i="1"/>
  <c r="G76" i="1"/>
  <c r="H77" i="1"/>
  <c r="J92" i="1"/>
  <c r="G92" i="1"/>
  <c r="H93" i="1"/>
  <c r="J108" i="1"/>
  <c r="G108" i="1"/>
  <c r="H109" i="1"/>
  <c r="J21" i="1"/>
  <c r="J37" i="1"/>
  <c r="J22" i="1"/>
  <c r="J38" i="1"/>
  <c r="J54" i="1"/>
  <c r="J70" i="1"/>
  <c r="J86" i="1"/>
  <c r="J102" i="1"/>
</calcChain>
</file>

<file path=xl/sharedStrings.xml><?xml version="1.0" encoding="utf-8"?>
<sst xmlns="http://schemas.openxmlformats.org/spreadsheetml/2006/main" count="102" uniqueCount="76">
  <si>
    <t>t</t>
  </si>
  <si>
    <t>T</t>
  </si>
  <si>
    <t>S</t>
  </si>
  <si>
    <t>E</t>
  </si>
  <si>
    <t>y(t)</t>
  </si>
  <si>
    <t>n</t>
  </si>
  <si>
    <t>a</t>
  </si>
  <si>
    <t>b</t>
  </si>
  <si>
    <t>c</t>
  </si>
  <si>
    <t>d</t>
  </si>
  <si>
    <t>f</t>
  </si>
  <si>
    <t>g</t>
  </si>
  <si>
    <t>N(0;1)</t>
  </si>
  <si>
    <t>&lt;DATE&gt;</t>
  </si>
  <si>
    <t>&lt;OPEN&gt;</t>
  </si>
  <si>
    <t>&lt;HIGH&gt;</t>
  </si>
  <si>
    <t>&lt;LOW&gt;</t>
  </si>
  <si>
    <t>&lt;CLOSE&gt;</t>
  </si>
  <si>
    <t>&lt;VOL&gt;</t>
  </si>
  <si>
    <t>линейн</t>
  </si>
  <si>
    <t>y=</t>
  </si>
  <si>
    <t>x+</t>
  </si>
  <si>
    <t>Министерство науки и высшего образования Российской Федерации</t>
  </si>
  <si>
    <t>Уфимский государственный авиационный технический университет</t>
  </si>
  <si>
    <t>Кафедра АСУ</t>
  </si>
  <si>
    <t>по дисциплине</t>
  </si>
  <si>
    <t>Бизнес-аналитикаи статистика</t>
  </si>
  <si>
    <t>Тема работы</t>
  </si>
  <si>
    <t>Вариант задания 6</t>
  </si>
  <si>
    <t>Выполнили ст. гр. ЭАС-507</t>
  </si>
  <si>
    <t>Альмухаметов Р.Р.</t>
  </si>
  <si>
    <t>Айтуганов А.М.</t>
  </si>
  <si>
    <t>Проверил</t>
  </si>
  <si>
    <t>проф. каф. АСУ</t>
  </si>
  <si>
    <t>Арьков В.Ю.</t>
  </si>
  <si>
    <t>Уфа</t>
  </si>
  <si>
    <t>Отчет по лабораторной работе №3</t>
  </si>
  <si>
    <t>Ряды динамики</t>
  </si>
  <si>
    <t>Оглавление</t>
  </si>
  <si>
    <t>1. Титульный лист</t>
  </si>
  <si>
    <t>2. Оглавление</t>
  </si>
  <si>
    <t>3. Задание</t>
  </si>
  <si>
    <t>4. Вариант задания</t>
  </si>
  <si>
    <t>5. Аддитивная модель</t>
  </si>
  <si>
    <t>6. Мультипликативная модель</t>
  </si>
  <si>
    <t>7. Роснефть</t>
  </si>
  <si>
    <t xml:space="preserve">Освоить методы статистического исследования динамики социально-экономических явлений. </t>
  </si>
  <si>
    <t>Задачами работы является:</t>
  </si>
  <si>
    <t xml:space="preserve">закрепление навыков генерации рядов динамики по аддитивной и мультипликативной моделям; </t>
  </si>
  <si>
    <t xml:space="preserve">овладение методикой построения уравнения и линии тренда, и сглаживания ряда динамики; </t>
  </si>
  <si>
    <t>приобретение навыков построения биржевых графиков.</t>
  </si>
  <si>
    <t>Вернуться к оглавлению.</t>
  </si>
  <si>
    <t>Варианты параметров моделей динамики</t>
  </si>
  <si>
    <t>№ варианта</t>
  </si>
  <si>
    <t>Имя файла</t>
  </si>
  <si>
    <t>Описание</t>
  </si>
  <si>
    <t>ROSN_WEEK.TXT</t>
  </si>
  <si>
    <t>Роснефть (недельные)</t>
  </si>
  <si>
    <t>Формулы аддитивной модели:</t>
  </si>
  <si>
    <t>Мультипликативная модель:</t>
  </si>
  <si>
    <t>T = a + b*t</t>
  </si>
  <si>
    <t>тренд</t>
  </si>
  <si>
    <t>S = c * sin(0,5236 * t)</t>
  </si>
  <si>
    <t>колебания</t>
  </si>
  <si>
    <t>S = 1 + f*sin(0,5236*t)</t>
  </si>
  <si>
    <t>E = d * N(0,1)</t>
  </si>
  <si>
    <t>случайная составляющая</t>
  </si>
  <si>
    <t>E = 1 + g*N(0;1)</t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</si>
  <si>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t</t>
    </r>
    <r>
      <rPr>
        <sz val="11"/>
        <color theme="1"/>
        <rFont val="Calibri"/>
        <family val="2"/>
        <charset val="204"/>
        <scheme val="minor"/>
      </rPr>
      <t xml:space="preserve"> = T + S + E (аддитивная)</t>
    </r>
  </si>
  <si>
    <t>ряд динамики</t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</si>
  <si>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t</t>
    </r>
    <r>
      <rPr>
        <sz val="11"/>
        <color theme="1"/>
        <rFont val="Calibri"/>
        <family val="2"/>
        <charset val="204"/>
        <scheme val="minor"/>
      </rPr>
      <t xml:space="preserve"> = T * S * E (мультипликативная)</t>
    </r>
  </si>
  <si>
    <t>EMA</t>
  </si>
  <si>
    <t>WMA</t>
  </si>
  <si>
    <t>MA</t>
  </si>
  <si>
    <t>α</t>
  </si>
  <si>
    <t>Медиана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</si>
</sst>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9]mmmm\ yyyy;@"/>
  </numFmts>
  <fonts count="6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0" fillId="2" borderId="1" xfId="0" applyFill="1" applyBorder="1"/>
    <xf numFmtId="164" fontId="0" fillId="0" borderId="0" xfId="0" applyNumberFormat="1"/>
    <xf numFmtId="0" fontId="0" fillId="0" borderId="0" xfId="0" applyFill="1" applyBorder="1" applyAlignment="1"/>
    <xf numFmtId="0" fontId="0" fillId="0" borderId="0" xfId="0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0" fontId="3" fillId="0" borderId="0" xfId="1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1" applyAlignment="1">
      <alignment horizontal="right"/>
    </xf>
    <xf numFmtId="0" fontId="0" fillId="0" borderId="0" xfId="0" applyAlignment="1">
      <alignment horizontal="left"/>
    </xf>
    <xf numFmtId="0" fontId="3" fillId="0" borderId="0" xfId="1" applyAlignment="1">
      <alignment horizontal="center"/>
    </xf>
    <xf numFmtId="0" fontId="4" fillId="0" borderId="0" xfId="0" applyFont="1" applyAlignment="1">
      <alignment horizontal="left"/>
    </xf>
    <xf numFmtId="0" fontId="0" fillId="0" borderId="1" xfId="0" applyBorder="1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0" xfId="0" applyFont="1" applyBorder="1" applyAlignment="1"/>
    <xf numFmtId="0" fontId="0" fillId="0" borderId="1" xfId="0" applyBorder="1" applyAlignment="1">
      <alignment horizontal="center"/>
    </xf>
    <xf numFmtId="0" fontId="0" fillId="3" borderId="1" xfId="0" applyFill="1" applyBorder="1"/>
    <xf numFmtId="2" fontId="0" fillId="0" borderId="1" xfId="0" applyNumberFormat="1" applyBorder="1"/>
    <xf numFmtId="0" fontId="3" fillId="0" borderId="0" xfId="1" applyAlignment="1">
      <alignment horizontal="center" vertical="center"/>
    </xf>
    <xf numFmtId="0" fontId="3" fillId="0" borderId="2" xfId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Аддитивная модель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y(t)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'5'!$A$7:$A$116</c:f>
              <c:numCache>
                <c:formatCode>General</c:formatCode>
                <c:ptCount val="1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</c:numCache>
            </c:numRef>
          </c:xVal>
          <c:yVal>
            <c:numRef>
              <c:f>'5'!$E$7:$E$116</c:f>
              <c:numCache>
                <c:formatCode>General</c:formatCode>
                <c:ptCount val="110"/>
                <c:pt idx="0">
                  <c:v>8.8271964408668708</c:v>
                </c:pt>
                <c:pt idx="1">
                  <c:v>11.003063639522036</c:v>
                </c:pt>
                <c:pt idx="2">
                  <c:v>12.202758941539587</c:v>
                </c:pt>
                <c:pt idx="3">
                  <c:v>12.624428459847554</c:v>
                </c:pt>
                <c:pt idx="4">
                  <c:v>12.430399148574288</c:v>
                </c:pt>
                <c:pt idx="5">
                  <c:v>10.349887786929887</c:v>
                </c:pt>
                <c:pt idx="6">
                  <c:v>9.7391022713935964</c:v>
                </c:pt>
                <c:pt idx="7">
                  <c:v>7.7109174164203242</c:v>
                </c:pt>
                <c:pt idx="8">
                  <c:v>7.6918142518361776</c:v>
                </c:pt>
                <c:pt idx="9">
                  <c:v>7.993351075887464</c:v>
                </c:pt>
                <c:pt idx="10">
                  <c:v>9.7197165729358712</c:v>
                </c:pt>
                <c:pt idx="11">
                  <c:v>13.084332550347927</c:v>
                </c:pt>
                <c:pt idx="12">
                  <c:v>14.979764142557041</c:v>
                </c:pt>
                <c:pt idx="13">
                  <c:v>17.264187125670475</c:v>
                </c:pt>
                <c:pt idx="14">
                  <c:v>17.461300661229185</c:v>
                </c:pt>
                <c:pt idx="15">
                  <c:v>17.568959576006513</c:v>
                </c:pt>
                <c:pt idx="16">
                  <c:v>17.825823493391759</c:v>
                </c:pt>
                <c:pt idx="17">
                  <c:v>16.423376214201809</c:v>
                </c:pt>
                <c:pt idx="18">
                  <c:v>14.834478857991481</c:v>
                </c:pt>
                <c:pt idx="19">
                  <c:v>12.62007737562829</c:v>
                </c:pt>
                <c:pt idx="20">
                  <c:v>13.174769243441769</c:v>
                </c:pt>
                <c:pt idx="21">
                  <c:v>14.4098835612023</c:v>
                </c:pt>
                <c:pt idx="22">
                  <c:v>16.962948502866244</c:v>
                </c:pt>
                <c:pt idx="23">
                  <c:v>18.546712605856637</c:v>
                </c:pt>
                <c:pt idx="24">
                  <c:v>21.542566705007733</c:v>
                </c:pt>
                <c:pt idx="25">
                  <c:v>21.199305196127867</c:v>
                </c:pt>
                <c:pt idx="26">
                  <c:v>24.50217278065676</c:v>
                </c:pt>
                <c:pt idx="27">
                  <c:v>23.655037509379738</c:v>
                </c:pt>
                <c:pt idx="28">
                  <c:v>23.089382019956837</c:v>
                </c:pt>
                <c:pt idx="29">
                  <c:v>21.635467657509388</c:v>
                </c:pt>
                <c:pt idx="30">
                  <c:v>21.929572359745698</c:v>
                </c:pt>
                <c:pt idx="31">
                  <c:v>18.764110133379198</c:v>
                </c:pt>
                <c:pt idx="32">
                  <c:v>18.02949258965063</c:v>
                </c:pt>
                <c:pt idx="33">
                  <c:v>22.215621910498605</c:v>
                </c:pt>
                <c:pt idx="34">
                  <c:v>21.19123278169214</c:v>
                </c:pt>
                <c:pt idx="35">
                  <c:v>26.203594237379189</c:v>
                </c:pt>
                <c:pt idx="36">
                  <c:v>25.454594208016744</c:v>
                </c:pt>
                <c:pt idx="37">
                  <c:v>28.691997284324199</c:v>
                </c:pt>
                <c:pt idx="38">
                  <c:v>30.382969855194222</c:v>
                </c:pt>
                <c:pt idx="39">
                  <c:v>29.688974110752504</c:v>
                </c:pt>
                <c:pt idx="40">
                  <c:v>29.210765944360684</c:v>
                </c:pt>
                <c:pt idx="41">
                  <c:v>27.167810375205271</c:v>
                </c:pt>
                <c:pt idx="42">
                  <c:v>27.104603402683132</c:v>
                </c:pt>
                <c:pt idx="43">
                  <c:v>24.527877700098475</c:v>
                </c:pt>
                <c:pt idx="44">
                  <c:v>25.313032451744029</c:v>
                </c:pt>
                <c:pt idx="45">
                  <c:v>26.329045511482988</c:v>
                </c:pt>
                <c:pt idx="46">
                  <c:v>29.569808776581965</c:v>
                </c:pt>
                <c:pt idx="47">
                  <c:v>31.888958746900304</c:v>
                </c:pt>
                <c:pt idx="48">
                  <c:v>32.835038872960645</c:v>
                </c:pt>
                <c:pt idx="49">
                  <c:v>33.833463668749303</c:v>
                </c:pt>
                <c:pt idx="50">
                  <c:v>35.923823275197101</c:v>
                </c:pt>
                <c:pt idx="51">
                  <c:v>36.752707915332714</c:v>
                </c:pt>
                <c:pt idx="52">
                  <c:v>35.716375000043804</c:v>
                </c:pt>
                <c:pt idx="53">
                  <c:v>34.35275225974712</c:v>
                </c:pt>
                <c:pt idx="54">
                  <c:v>32.660603586730993</c:v>
                </c:pt>
                <c:pt idx="55">
                  <c:v>30.506093204307248</c:v>
                </c:pt>
                <c:pt idx="56">
                  <c:v>31.819125329689026</c:v>
                </c:pt>
                <c:pt idx="57">
                  <c:v>32.697376598836684</c:v>
                </c:pt>
                <c:pt idx="58">
                  <c:v>34.970355329301668</c:v>
                </c:pt>
                <c:pt idx="59">
                  <c:v>38.429393795240216</c:v>
                </c:pt>
                <c:pt idx="60">
                  <c:v>39.486274332453462</c:v>
                </c:pt>
                <c:pt idx="61">
                  <c:v>42.404736436218876</c:v>
                </c:pt>
                <c:pt idx="62">
                  <c:v>41.305611527964587</c:v>
                </c:pt>
                <c:pt idx="63">
                  <c:v>41.507520252700004</c:v>
                </c:pt>
                <c:pt idx="64">
                  <c:v>41.840035388822756</c:v>
                </c:pt>
                <c:pt idx="65">
                  <c:v>40.855574936948727</c:v>
                </c:pt>
                <c:pt idx="66">
                  <c:v>38.505560242405657</c:v>
                </c:pt>
                <c:pt idx="67">
                  <c:v>36.771687207151267</c:v>
                </c:pt>
                <c:pt idx="68">
                  <c:v>36.066956506415885</c:v>
                </c:pt>
                <c:pt idx="69">
                  <c:v>38.134692521531896</c:v>
                </c:pt>
                <c:pt idx="70">
                  <c:v>41.865594579177156</c:v>
                </c:pt>
                <c:pt idx="71">
                  <c:v>43.993680913093009</c:v>
                </c:pt>
                <c:pt idx="72">
                  <c:v>44.628404332251378</c:v>
                </c:pt>
                <c:pt idx="73">
                  <c:v>47.75125385663118</c:v>
                </c:pt>
                <c:pt idx="74">
                  <c:v>48.942239053387439</c:v>
                </c:pt>
                <c:pt idx="75">
                  <c:v>48.274116679747195</c:v>
                </c:pt>
                <c:pt idx="76">
                  <c:v>46.819163997596711</c:v>
                </c:pt>
                <c:pt idx="77">
                  <c:v>46.982839966947303</c:v>
                </c:pt>
                <c:pt idx="78">
                  <c:v>46.252559539234475</c:v>
                </c:pt>
                <c:pt idx="79">
                  <c:v>43.643400312319194</c:v>
                </c:pt>
                <c:pt idx="80">
                  <c:v>43.829690030075255</c:v>
                </c:pt>
                <c:pt idx="81">
                  <c:v>44.11727325605532</c:v>
                </c:pt>
                <c:pt idx="82">
                  <c:v>47.283543404383977</c:v>
                </c:pt>
                <c:pt idx="83">
                  <c:v>48.693245934351673</c:v>
                </c:pt>
                <c:pt idx="84">
                  <c:v>51.421193546264462</c:v>
                </c:pt>
                <c:pt idx="85">
                  <c:v>53.696443435253549</c:v>
                </c:pt>
                <c:pt idx="86">
                  <c:v>55.414242241421903</c:v>
                </c:pt>
                <c:pt idx="87">
                  <c:v>55.595275681463228</c:v>
                </c:pt>
                <c:pt idx="88">
                  <c:v>54.304547137847784</c:v>
                </c:pt>
                <c:pt idx="89">
                  <c:v>52.552964913544493</c:v>
                </c:pt>
                <c:pt idx="90">
                  <c:v>51.396666854544172</c:v>
                </c:pt>
                <c:pt idx="91">
                  <c:v>50.290881137491681</c:v>
                </c:pt>
                <c:pt idx="92">
                  <c:v>51.628043005098377</c:v>
                </c:pt>
                <c:pt idx="93">
                  <c:v>49.085382682590861</c:v>
                </c:pt>
                <c:pt idx="94">
                  <c:v>53.045364900805211</c:v>
                </c:pt>
                <c:pt idx="95">
                  <c:v>54.311840799836538</c:v>
                </c:pt>
                <c:pt idx="96">
                  <c:v>57.077791046687693</c:v>
                </c:pt>
                <c:pt idx="97">
                  <c:v>59.562412386624821</c:v>
                </c:pt>
                <c:pt idx="98">
                  <c:v>59.112664028486662</c:v>
                </c:pt>
                <c:pt idx="99">
                  <c:v>60.557490097874179</c:v>
                </c:pt>
                <c:pt idx="100">
                  <c:v>59.387920209486182</c:v>
                </c:pt>
                <c:pt idx="101">
                  <c:v>59.137583906244984</c:v>
                </c:pt>
                <c:pt idx="102">
                  <c:v>55.929161720710958</c:v>
                </c:pt>
                <c:pt idx="103">
                  <c:v>56.06969720728582</c:v>
                </c:pt>
                <c:pt idx="104">
                  <c:v>54.926041573629817</c:v>
                </c:pt>
                <c:pt idx="105">
                  <c:v>55.269704804873008</c:v>
                </c:pt>
                <c:pt idx="106">
                  <c:v>57.863411021585968</c:v>
                </c:pt>
                <c:pt idx="107">
                  <c:v>62.459263855728111</c:v>
                </c:pt>
                <c:pt idx="108">
                  <c:v>63.14156659617872</c:v>
                </c:pt>
                <c:pt idx="109">
                  <c:v>63.966142139967488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97-4AF6-B306-F0C45B8EA301}"/>
            </c:ext>
          </c:extLst>
        </c:ser>
        <c:ser>
          <c:idx val="1"/>
          <c:order val="1"/>
          <c:tx>
            <c:v>MA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'5'!$A$7:$A$116</c:f>
              <c:numCache>
                <c:formatCode>General</c:formatCode>
                <c:ptCount val="1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</c:numCache>
            </c:numRef>
          </c:xVal>
          <c:yVal>
            <c:numRef>
              <c:f>'5'!$G$8:$G$115</c:f>
              <c:numCache>
                <c:formatCode>General</c:formatCode>
                <c:ptCount val="108"/>
                <c:pt idx="0">
                  <c:v>10.677673007309499</c:v>
                </c:pt>
                <c:pt idx="1">
                  <c:v>11.943417013636392</c:v>
                </c:pt>
                <c:pt idx="2">
                  <c:v>12.41919551665381</c:v>
                </c:pt>
                <c:pt idx="3">
                  <c:v>11.801571798450576</c:v>
                </c:pt>
                <c:pt idx="4">
                  <c:v>10.839796402299257</c:v>
                </c:pt>
                <c:pt idx="5">
                  <c:v>9.2666358249146015</c:v>
                </c:pt>
                <c:pt idx="6">
                  <c:v>8.3806113132166988</c:v>
                </c:pt>
                <c:pt idx="7">
                  <c:v>7.7986942480479895</c:v>
                </c:pt>
                <c:pt idx="8">
                  <c:v>8.4682939668865043</c:v>
                </c:pt>
                <c:pt idx="9">
                  <c:v>10.265800066390421</c:v>
                </c:pt>
                <c:pt idx="10">
                  <c:v>12.594604421946945</c:v>
                </c:pt>
                <c:pt idx="11">
                  <c:v>15.109427939525148</c:v>
                </c:pt>
                <c:pt idx="12">
                  <c:v>16.568417309818901</c:v>
                </c:pt>
                <c:pt idx="13">
                  <c:v>17.43148245430206</c:v>
                </c:pt>
                <c:pt idx="14">
                  <c:v>17.618694576875818</c:v>
                </c:pt>
                <c:pt idx="15">
                  <c:v>17.272719761200026</c:v>
                </c:pt>
                <c:pt idx="16">
                  <c:v>16.361226188528349</c:v>
                </c:pt>
                <c:pt idx="17">
                  <c:v>14.625977482607192</c:v>
                </c:pt>
                <c:pt idx="18">
                  <c:v>13.543108492353847</c:v>
                </c:pt>
                <c:pt idx="19">
                  <c:v>13.401576726757453</c:v>
                </c:pt>
                <c:pt idx="20">
                  <c:v>14.849200435836771</c:v>
                </c:pt>
                <c:pt idx="21">
                  <c:v>16.639848223308395</c:v>
                </c:pt>
                <c:pt idx="22">
                  <c:v>19.017409271243537</c:v>
                </c:pt>
                <c:pt idx="23">
                  <c:v>20.429528168997411</c:v>
                </c:pt>
                <c:pt idx="24">
                  <c:v>22.414681560597455</c:v>
                </c:pt>
                <c:pt idx="25">
                  <c:v>23.118838495388122</c:v>
                </c:pt>
                <c:pt idx="26">
                  <c:v>23.748864103331112</c:v>
                </c:pt>
                <c:pt idx="27">
                  <c:v>22.793295728948653</c:v>
                </c:pt>
                <c:pt idx="28">
                  <c:v>22.218140679070643</c:v>
                </c:pt>
                <c:pt idx="29">
                  <c:v>20.776383383544761</c:v>
                </c:pt>
                <c:pt idx="30">
                  <c:v>19.574391694258509</c:v>
                </c:pt>
                <c:pt idx="31">
                  <c:v>19.669741544509478</c:v>
                </c:pt>
                <c:pt idx="32">
                  <c:v>20.478782427280461</c:v>
                </c:pt>
                <c:pt idx="33">
                  <c:v>23.203482976523315</c:v>
                </c:pt>
                <c:pt idx="34">
                  <c:v>24.283140409029357</c:v>
                </c:pt>
                <c:pt idx="35">
                  <c:v>26.783395243240047</c:v>
                </c:pt>
                <c:pt idx="36">
                  <c:v>28.176520449178387</c:v>
                </c:pt>
                <c:pt idx="37">
                  <c:v>29.587980416756977</c:v>
                </c:pt>
                <c:pt idx="38">
                  <c:v>29.760903303435807</c:v>
                </c:pt>
                <c:pt idx="39">
                  <c:v>28.689183476772815</c:v>
                </c:pt>
                <c:pt idx="40">
                  <c:v>27.827726574083027</c:v>
                </c:pt>
                <c:pt idx="41">
                  <c:v>26.266763825995625</c:v>
                </c:pt>
                <c:pt idx="42">
                  <c:v>25.648504518175212</c:v>
                </c:pt>
                <c:pt idx="43">
                  <c:v>25.3899852211085</c:v>
                </c:pt>
                <c:pt idx="44">
                  <c:v>27.070628913269662</c:v>
                </c:pt>
                <c:pt idx="45">
                  <c:v>29.262604344988418</c:v>
                </c:pt>
                <c:pt idx="46">
                  <c:v>31.431268798814301</c:v>
                </c:pt>
                <c:pt idx="47">
                  <c:v>32.852487096203419</c:v>
                </c:pt>
                <c:pt idx="48">
                  <c:v>34.197441938969014</c:v>
                </c:pt>
                <c:pt idx="49">
                  <c:v>35.503331619759706</c:v>
                </c:pt>
                <c:pt idx="50">
                  <c:v>36.130968730191206</c:v>
                </c:pt>
                <c:pt idx="51">
                  <c:v>35.607278391707879</c:v>
                </c:pt>
                <c:pt idx="52">
                  <c:v>34.243243615507303</c:v>
                </c:pt>
                <c:pt idx="53">
                  <c:v>32.506483016928449</c:v>
                </c:pt>
                <c:pt idx="54">
                  <c:v>31.661940706909089</c:v>
                </c:pt>
                <c:pt idx="55">
                  <c:v>31.674198377610988</c:v>
                </c:pt>
                <c:pt idx="56">
                  <c:v>33.162285752609129</c:v>
                </c:pt>
                <c:pt idx="57">
                  <c:v>35.365708574459525</c:v>
                </c:pt>
                <c:pt idx="58">
                  <c:v>37.628674485665115</c:v>
                </c:pt>
                <c:pt idx="59">
                  <c:v>40.106801521304185</c:v>
                </c:pt>
                <c:pt idx="60">
                  <c:v>41.065540765545641</c:v>
                </c:pt>
                <c:pt idx="61">
                  <c:v>41.739289405627822</c:v>
                </c:pt>
                <c:pt idx="62">
                  <c:v>41.551055723162449</c:v>
                </c:pt>
                <c:pt idx="63">
                  <c:v>41.40104352615716</c:v>
                </c:pt>
                <c:pt idx="64">
                  <c:v>40.400390189392375</c:v>
                </c:pt>
                <c:pt idx="65">
                  <c:v>38.710940795501891</c:v>
                </c:pt>
                <c:pt idx="66">
                  <c:v>37.114734651990936</c:v>
                </c:pt>
                <c:pt idx="67">
                  <c:v>36.991112078366349</c:v>
                </c:pt>
                <c:pt idx="68">
                  <c:v>38.689081202374979</c:v>
                </c:pt>
                <c:pt idx="69">
                  <c:v>41.331322671267351</c:v>
                </c:pt>
                <c:pt idx="70">
                  <c:v>43.495893274840512</c:v>
                </c:pt>
                <c:pt idx="71">
                  <c:v>45.457779700658513</c:v>
                </c:pt>
                <c:pt idx="72">
                  <c:v>47.107299080756661</c:v>
                </c:pt>
                <c:pt idx="73">
                  <c:v>48.322536529921933</c:v>
                </c:pt>
                <c:pt idx="74">
                  <c:v>48.011839910243786</c:v>
                </c:pt>
                <c:pt idx="75">
                  <c:v>47.3587068814304</c:v>
                </c:pt>
                <c:pt idx="76">
                  <c:v>46.684854501259501</c:v>
                </c:pt>
                <c:pt idx="77">
                  <c:v>45.626266606166986</c:v>
                </c:pt>
                <c:pt idx="78">
                  <c:v>44.575216627209642</c:v>
                </c:pt>
                <c:pt idx="79">
                  <c:v>43.863454532816583</c:v>
                </c:pt>
                <c:pt idx="80">
                  <c:v>45.076835563504851</c:v>
                </c:pt>
                <c:pt idx="81">
                  <c:v>46.698020864930321</c:v>
                </c:pt>
                <c:pt idx="82">
                  <c:v>49.132660961666694</c:v>
                </c:pt>
                <c:pt idx="83">
                  <c:v>51.270294305289895</c:v>
                </c:pt>
                <c:pt idx="84">
                  <c:v>53.51062640764664</c:v>
                </c:pt>
                <c:pt idx="85">
                  <c:v>54.901987119379555</c:v>
                </c:pt>
                <c:pt idx="86">
                  <c:v>55.104688353577636</c:v>
                </c:pt>
                <c:pt idx="87">
                  <c:v>54.150929244285173</c:v>
                </c:pt>
                <c:pt idx="88">
                  <c:v>52.751392968645483</c:v>
                </c:pt>
                <c:pt idx="89">
                  <c:v>51.413504301860115</c:v>
                </c:pt>
                <c:pt idx="90">
                  <c:v>51.105196999044743</c:v>
                </c:pt>
                <c:pt idx="91">
                  <c:v>50.334768941726971</c:v>
                </c:pt>
                <c:pt idx="92">
                  <c:v>51.252930196164812</c:v>
                </c:pt>
                <c:pt idx="93">
                  <c:v>52.147529461077539</c:v>
                </c:pt>
                <c:pt idx="94">
                  <c:v>54.81166558244314</c:v>
                </c:pt>
                <c:pt idx="95">
                  <c:v>56.984014744383018</c:v>
                </c:pt>
                <c:pt idx="96">
                  <c:v>58.584289153933049</c:v>
                </c:pt>
                <c:pt idx="97">
                  <c:v>59.744188837661888</c:v>
                </c:pt>
                <c:pt idx="98">
                  <c:v>59.686024778615682</c:v>
                </c:pt>
                <c:pt idx="99">
                  <c:v>59.694331404535113</c:v>
                </c:pt>
                <c:pt idx="100">
                  <c:v>58.151555278814044</c:v>
                </c:pt>
                <c:pt idx="101">
                  <c:v>57.045480944747254</c:v>
                </c:pt>
                <c:pt idx="102">
                  <c:v>55.641633500542206</c:v>
                </c:pt>
                <c:pt idx="103">
                  <c:v>55.421814528596222</c:v>
                </c:pt>
                <c:pt idx="104">
                  <c:v>56.019719133362933</c:v>
                </c:pt>
                <c:pt idx="105">
                  <c:v>58.530793227395691</c:v>
                </c:pt>
                <c:pt idx="106">
                  <c:v>61.154747157830933</c:v>
                </c:pt>
                <c:pt idx="107">
                  <c:v>63.188990863958111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97-4AF6-B306-F0C45B8EA301}"/>
            </c:ext>
          </c:extLst>
        </c:ser>
        <c:ser>
          <c:idx val="2"/>
          <c:order val="2"/>
          <c:tx>
            <c:v>WMA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'5'!$A$7:$A$116</c:f>
              <c:numCache>
                <c:formatCode>General</c:formatCode>
                <c:ptCount val="1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</c:numCache>
            </c:numRef>
          </c:xVal>
          <c:yVal>
            <c:numRef>
              <c:f>'5'!$H$9:$H$114</c:f>
              <c:numCache>
                <c:formatCode>General</c:formatCode>
                <c:ptCount val="106"/>
                <c:pt idx="0">
                  <c:v>11.811507352259815</c:v>
                </c:pt>
                <c:pt idx="1">
                  <c:v>12.227009659124548</c:v>
                </c:pt>
                <c:pt idx="2">
                  <c:v>11.77634506821804</c:v>
                </c:pt>
                <c:pt idx="3">
                  <c:v>10.694542392357421</c:v>
                </c:pt>
                <c:pt idx="4">
                  <c:v>9.4250029901358054</c:v>
                </c:pt>
                <c:pt idx="5">
                  <c:v>8.3957755908911498</c:v>
                </c:pt>
                <c:pt idx="6">
                  <c:v>8.0266736452861061</c:v>
                </c:pt>
                <c:pt idx="7">
                  <c:v>8.650092482573827</c:v>
                </c:pt>
                <c:pt idx="8">
                  <c:v>10.331288271059375</c:v>
                </c:pt>
                <c:pt idx="9">
                  <c:v>12.660091022851072</c:v>
                </c:pt>
                <c:pt idx="10">
                  <c:v>14.903355049598806</c:v>
                </c:pt>
                <c:pt idx="11">
                  <c:v>16.500167130970137</c:v>
                </c:pt>
                <c:pt idx="12">
                  <c:v>17.306623650626992</c:v>
                </c:pt>
                <c:pt idx="13">
                  <c:v>17.515613588399699</c:v>
                </c:pt>
                <c:pt idx="14">
                  <c:v>17.201253977525283</c:v>
                </c:pt>
                <c:pt idx="15">
                  <c:v>16.210656477648662</c:v>
                </c:pt>
                <c:pt idx="16">
                  <c:v>14.761330015256426</c:v>
                </c:pt>
                <c:pt idx="17">
                  <c:v>13.661919777181678</c:v>
                </c:pt>
                <c:pt idx="18">
                  <c:v>13.685367910551919</c:v>
                </c:pt>
                <c:pt idx="19">
                  <c:v>14.886060145870674</c:v>
                </c:pt>
                <c:pt idx="20">
                  <c:v>16.770088227117672</c:v>
                </c:pt>
                <c:pt idx="21">
                  <c:v>18.806970326497868</c:v>
                </c:pt>
                <c:pt idx="22">
                  <c:v>20.60653704509421</c:v>
                </c:pt>
                <c:pt idx="23">
                  <c:v>22.098533702166346</c:v>
                </c:pt>
                <c:pt idx="24">
                  <c:v>23.191397264433469</c:v>
                </c:pt>
                <c:pt idx="25">
                  <c:v>23.445701069523132</c:v>
                </c:pt>
                <c:pt idx="26">
                  <c:v>22.883128620481248</c:v>
                </c:pt>
                <c:pt idx="27">
                  <c:v>22.019235694164088</c:v>
                </c:pt>
                <c:pt idx="28">
                  <c:v>20.893413745727251</c:v>
                </c:pt>
                <c:pt idx="29">
                  <c:v>19.767000635366781</c:v>
                </c:pt>
                <c:pt idx="30">
                  <c:v>19.7010430534283</c:v>
                </c:pt>
                <c:pt idx="31">
                  <c:v>20.94652108244507</c:v>
                </c:pt>
                <c:pt idx="32">
                  <c:v>22.769271754958211</c:v>
                </c:pt>
                <c:pt idx="33">
                  <c:v>24.669530786120841</c:v>
                </c:pt>
                <c:pt idx="34">
                  <c:v>26.492758373237525</c:v>
                </c:pt>
                <c:pt idx="35">
                  <c:v>28.212175519182544</c:v>
                </c:pt>
                <c:pt idx="36">
                  <c:v>29.405441553990599</c:v>
                </c:pt>
                <c:pt idx="37">
                  <c:v>29.523037220141507</c:v>
                </c:pt>
                <c:pt idx="38">
                  <c:v>28.76120667924204</c:v>
                </c:pt>
                <c:pt idx="39">
                  <c:v>27.655324465641119</c:v>
                </c:pt>
                <c:pt idx="40">
                  <c:v>26.495885694588658</c:v>
                </c:pt>
                <c:pt idx="41">
                  <c:v>25.645916594061735</c:v>
                </c:pt>
                <c:pt idx="42">
                  <c:v>25.748768733503447</c:v>
                </c:pt>
                <c:pt idx="43">
                  <c:v>27.120154651825043</c:v>
                </c:pt>
                <c:pt idx="44">
                  <c:v>29.277433813608102</c:v>
                </c:pt>
                <c:pt idx="45">
                  <c:v>31.319728266237785</c:v>
                </c:pt>
                <c:pt idx="46">
                  <c:v>32.837097184508835</c:v>
                </c:pt>
                <c:pt idx="47">
                  <c:v>34.167368579209992</c:v>
                </c:pt>
                <c:pt idx="48">
                  <c:v>35.402439991282201</c:v>
                </c:pt>
                <c:pt idx="49">
                  <c:v>35.953953532591022</c:v>
                </c:pt>
                <c:pt idx="50">
                  <c:v>35.456532347656889</c:v>
                </c:pt>
                <c:pt idx="51">
                  <c:v>34.180201814076369</c:v>
                </c:pt>
                <c:pt idx="52">
                  <c:v>32.683406481646017</c:v>
                </c:pt>
                <c:pt idx="53">
                  <c:v>31.75035023438171</c:v>
                </c:pt>
                <c:pt idx="54">
                  <c:v>31.959974381671408</c:v>
                </c:pt>
                <c:pt idx="55">
                  <c:v>33.267354326783149</c:v>
                </c:pt>
                <c:pt idx="56">
                  <c:v>35.352163325891262</c:v>
                </c:pt>
                <c:pt idx="57">
                  <c:v>37.719062153344836</c:v>
                </c:pt>
                <c:pt idx="58">
                  <c:v>39.783133361113968</c:v>
                </c:pt>
                <c:pt idx="59">
                  <c:v>41.095804756682853</c:v>
                </c:pt>
                <c:pt idx="60">
                  <c:v>41.550562852796205</c:v>
                </c:pt>
                <c:pt idx="61">
                  <c:v>41.555501284782316</c:v>
                </c:pt>
                <c:pt idx="62">
                  <c:v>41.268985303868853</c:v>
                </c:pt>
                <c:pt idx="63">
                  <c:v>40.299689975403581</c:v>
                </c:pt>
                <c:pt idx="64">
                  <c:v>38.71558762037953</c:v>
                </c:pt>
                <c:pt idx="65">
                  <c:v>37.369403606042148</c:v>
                </c:pt>
                <c:pt idx="66">
                  <c:v>37.274900798425669</c:v>
                </c:pt>
                <c:pt idx="67">
                  <c:v>38.83148297448799</c:v>
                </c:pt>
                <c:pt idx="68">
                  <c:v>41.275151378264368</c:v>
                </c:pt>
                <c:pt idx="69">
                  <c:v>43.489001718902202</c:v>
                </c:pt>
                <c:pt idx="70">
                  <c:v>45.347374919060606</c:v>
                </c:pt>
                <c:pt idx="71">
                  <c:v>47.066118392198909</c:v>
                </c:pt>
                <c:pt idx="72">
                  <c:v>48.075155299730383</c:v>
                </c:pt>
                <c:pt idx="73">
                  <c:v>47.964025381624893</c:v>
                </c:pt>
                <c:pt idx="74">
                  <c:v>47.321100572811254</c:v>
                </c:pt>
                <c:pt idx="75">
                  <c:v>46.631340683817186</c:v>
                </c:pt>
                <c:pt idx="76">
                  <c:v>45.66682327375905</c:v>
                </c:pt>
                <c:pt idx="77">
                  <c:v>44.580594585884796</c:v>
                </c:pt>
                <c:pt idx="78">
                  <c:v>44.222308587348003</c:v>
                </c:pt>
                <c:pt idx="79">
                  <c:v>45.093326220052482</c:v>
                </c:pt>
                <c:pt idx="80">
                  <c:v>46.887138797766973</c:v>
                </c:pt>
                <c:pt idx="81">
                  <c:v>49.049508756250788</c:v>
                </c:pt>
                <c:pt idx="82">
                  <c:v>51.298981525113341</c:v>
                </c:pt>
                <c:pt idx="83">
                  <c:v>53.363057836130103</c:v>
                </c:pt>
                <c:pt idx="84">
                  <c:v>54.711129412469418</c:v>
                </c:pt>
                <c:pt idx="85">
                  <c:v>54.918513747166017</c:v>
                </c:pt>
                <c:pt idx="86">
                  <c:v>54.076947143942725</c:v>
                </c:pt>
                <c:pt idx="87">
                  <c:v>52.750550141861865</c:v>
                </c:pt>
                <c:pt idx="88">
                  <c:v>51.605498467147243</c:v>
                </c:pt>
                <c:pt idx="89">
                  <c:v>50.967654616228479</c:v>
                </c:pt>
                <c:pt idx="90">
                  <c:v>50.732209066641857</c:v>
                </c:pt>
                <c:pt idx="91">
                  <c:v>51.113040603530479</c:v>
                </c:pt>
                <c:pt idx="92">
                  <c:v>52.535432336645435</c:v>
                </c:pt>
                <c:pt idx="93">
                  <c:v>54.688216478637912</c:v>
                </c:pt>
                <c:pt idx="94">
                  <c:v>56.88261174720396</c:v>
                </c:pt>
                <c:pt idx="95">
                  <c:v>58.562851594884812</c:v>
                </c:pt>
                <c:pt idx="96">
                  <c:v>59.476331585318114</c:v>
                </c:pt>
                <c:pt idx="97">
                  <c:v>59.752954614500396</c:v>
                </c:pt>
                <c:pt idx="98">
                  <c:v>59.38435268891196</c:v>
                </c:pt>
                <c:pt idx="99">
                  <c:v>58.295063653963652</c:v>
                </c:pt>
                <c:pt idx="100">
                  <c:v>56.919878535094064</c:v>
                </c:pt>
                <c:pt idx="101">
                  <c:v>55.890392820762244</c:v>
                </c:pt>
                <c:pt idx="102">
                  <c:v>55.544151889544452</c:v>
                </c:pt>
                <c:pt idx="103">
                  <c:v>56.331562517069692</c:v>
                </c:pt>
                <c:pt idx="104">
                  <c:v>58.510246808858049</c:v>
                </c:pt>
                <c:pt idx="105">
                  <c:v>61.12570878439174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97-4AF6-B306-F0C45B8EA301}"/>
            </c:ext>
          </c:extLst>
        </c:ser>
        <c:ser>
          <c:idx val="3"/>
          <c:order val="3"/>
          <c:tx>
            <c:v>EMA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'5'!$A$7:$A$116</c:f>
              <c:numCache>
                <c:formatCode>General</c:formatCode>
                <c:ptCount val="1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</c:numCache>
            </c:numRef>
          </c:xVal>
          <c:yVal>
            <c:numRef>
              <c:f>'5'!$I$7:$I$116</c:f>
              <c:numCache>
                <c:formatCode>General</c:formatCode>
                <c:ptCount val="110"/>
                <c:pt idx="0">
                  <c:v>8.8271964408668708</c:v>
                </c:pt>
                <c:pt idx="1">
                  <c:v>8.8664012552570544</c:v>
                </c:pt>
                <c:pt idx="2">
                  <c:v>8.926515808163046</c:v>
                </c:pt>
                <c:pt idx="3">
                  <c:v>8.9931448649501551</c:v>
                </c:pt>
                <c:pt idx="4">
                  <c:v>9.0550773745650037</c:v>
                </c:pt>
                <c:pt idx="5">
                  <c:v>9.0784072919049112</c:v>
                </c:pt>
                <c:pt idx="6">
                  <c:v>9.0903117059497536</c:v>
                </c:pt>
                <c:pt idx="7">
                  <c:v>9.0654577547870598</c:v>
                </c:pt>
                <c:pt idx="8">
                  <c:v>9.0407074214005565</c:v>
                </c:pt>
                <c:pt idx="9">
                  <c:v>9.0218361358958159</c:v>
                </c:pt>
                <c:pt idx="10">
                  <c:v>9.0344105581848257</c:v>
                </c:pt>
                <c:pt idx="11">
                  <c:v>9.1073821256111867</c:v>
                </c:pt>
                <c:pt idx="12">
                  <c:v>9.213190810601203</c:v>
                </c:pt>
                <c:pt idx="13">
                  <c:v>9.3582538072691186</c:v>
                </c:pt>
                <c:pt idx="14">
                  <c:v>9.5042546514846151</c:v>
                </c:pt>
                <c:pt idx="15">
                  <c:v>9.649564650124649</c:v>
                </c:pt>
                <c:pt idx="16">
                  <c:v>9.7968846292826157</c:v>
                </c:pt>
                <c:pt idx="17">
                  <c:v>9.9162808740559338</c:v>
                </c:pt>
                <c:pt idx="18">
                  <c:v>10.004897053946664</c:v>
                </c:pt>
                <c:pt idx="19">
                  <c:v>10.052017420103088</c:v>
                </c:pt>
                <c:pt idx="20">
                  <c:v>10.108283218721802</c:v>
                </c:pt>
                <c:pt idx="21">
                  <c:v>10.185789531198928</c:v>
                </c:pt>
                <c:pt idx="22">
                  <c:v>10.307900503661402</c:v>
                </c:pt>
                <c:pt idx="23">
                  <c:v>10.456347568565819</c:v>
                </c:pt>
                <c:pt idx="24">
                  <c:v>10.656099264717925</c:v>
                </c:pt>
                <c:pt idx="25">
                  <c:v>10.846066939157744</c:v>
                </c:pt>
                <c:pt idx="26">
                  <c:v>11.092122900265835</c:v>
                </c:pt>
                <c:pt idx="27">
                  <c:v>11.31848172205167</c:v>
                </c:pt>
                <c:pt idx="28">
                  <c:v>11.530570015707619</c:v>
                </c:pt>
                <c:pt idx="29">
                  <c:v>11.712640243487831</c:v>
                </c:pt>
                <c:pt idx="30">
                  <c:v>11.896729110447431</c:v>
                </c:pt>
                <c:pt idx="31">
                  <c:v>12.02046570545521</c:v>
                </c:pt>
                <c:pt idx="32">
                  <c:v>12.128736460125399</c:v>
                </c:pt>
                <c:pt idx="33">
                  <c:v>12.310482143915907</c:v>
                </c:pt>
                <c:pt idx="34">
                  <c:v>12.470495668920885</c:v>
                </c:pt>
                <c:pt idx="35">
                  <c:v>12.717938886370584</c:v>
                </c:pt>
                <c:pt idx="36">
                  <c:v>12.94742817144529</c:v>
                </c:pt>
                <c:pt idx="37">
                  <c:v>13.231114101407071</c:v>
                </c:pt>
                <c:pt idx="38">
                  <c:v>13.540156547421253</c:v>
                </c:pt>
                <c:pt idx="39">
                  <c:v>13.831126233247041</c:v>
                </c:pt>
                <c:pt idx="40">
                  <c:v>14.108236858672511</c:v>
                </c:pt>
                <c:pt idx="41">
                  <c:v>14.343544489601028</c:v>
                </c:pt>
                <c:pt idx="42">
                  <c:v>14.57347347902593</c:v>
                </c:pt>
                <c:pt idx="43">
                  <c:v>14.752832113639849</c:v>
                </c:pt>
                <c:pt idx="44">
                  <c:v>14.943105993605689</c:v>
                </c:pt>
                <c:pt idx="45">
                  <c:v>15.148258056990866</c:v>
                </c:pt>
                <c:pt idx="46">
                  <c:v>15.408105817704218</c:v>
                </c:pt>
                <c:pt idx="47">
                  <c:v>15.705058122734778</c:v>
                </c:pt>
                <c:pt idx="48">
                  <c:v>16.013706424540647</c:v>
                </c:pt>
                <c:pt idx="49">
                  <c:v>16.334783131643505</c:v>
                </c:pt>
                <c:pt idx="50">
                  <c:v>16.687738809905731</c:v>
                </c:pt>
                <c:pt idx="51">
                  <c:v>17.049269784778289</c:v>
                </c:pt>
                <c:pt idx="52">
                  <c:v>17.385614022891183</c:v>
                </c:pt>
                <c:pt idx="53">
                  <c:v>17.691328225357054</c:v>
                </c:pt>
                <c:pt idx="54">
                  <c:v>17.961044898534965</c:v>
                </c:pt>
                <c:pt idx="55">
                  <c:v>18.187081804945276</c:v>
                </c:pt>
                <c:pt idx="56">
                  <c:v>18.432704210796516</c:v>
                </c:pt>
                <c:pt idx="57">
                  <c:v>18.689725334905347</c:v>
                </c:pt>
                <c:pt idx="58">
                  <c:v>18.983070019489062</c:v>
                </c:pt>
                <c:pt idx="59">
                  <c:v>19.333454231664756</c:v>
                </c:pt>
                <c:pt idx="60">
                  <c:v>19.696568107354643</c:v>
                </c:pt>
                <c:pt idx="61">
                  <c:v>20.105724293460305</c:v>
                </c:pt>
                <c:pt idx="62">
                  <c:v>20.487704243631555</c:v>
                </c:pt>
                <c:pt idx="63">
                  <c:v>20.866439667218373</c:v>
                </c:pt>
                <c:pt idx="64">
                  <c:v>21.244342292832865</c:v>
                </c:pt>
                <c:pt idx="65">
                  <c:v>21.597697835970088</c:v>
                </c:pt>
                <c:pt idx="66">
                  <c:v>21.902344005455411</c:v>
                </c:pt>
                <c:pt idx="67">
                  <c:v>22.170260099179661</c:v>
                </c:pt>
                <c:pt idx="68">
                  <c:v>22.420651025436168</c:v>
                </c:pt>
                <c:pt idx="69">
                  <c:v>22.703786908248706</c:v>
                </c:pt>
                <c:pt idx="70">
                  <c:v>23.04904470412129</c:v>
                </c:pt>
                <c:pt idx="71">
                  <c:v>23.426425536715374</c:v>
                </c:pt>
                <c:pt idx="72">
                  <c:v>23.808443172670977</c:v>
                </c:pt>
                <c:pt idx="73">
                  <c:v>24.239845166976565</c:v>
                </c:pt>
                <c:pt idx="74">
                  <c:v>24.684933345110093</c:v>
                </c:pt>
                <c:pt idx="75">
                  <c:v>25.109963675463916</c:v>
                </c:pt>
                <c:pt idx="76">
                  <c:v>25.501120438024866</c:v>
                </c:pt>
                <c:pt idx="77">
                  <c:v>25.888178447554999</c:v>
                </c:pt>
                <c:pt idx="78">
                  <c:v>26.255104232990664</c:v>
                </c:pt>
                <c:pt idx="79">
                  <c:v>26.568406865050637</c:v>
                </c:pt>
                <c:pt idx="80">
                  <c:v>26.87942097613216</c:v>
                </c:pt>
                <c:pt idx="81">
                  <c:v>27.190012909103746</c:v>
                </c:pt>
                <c:pt idx="82">
                  <c:v>27.552058503613299</c:v>
                </c:pt>
                <c:pt idx="83">
                  <c:v>27.932980799662637</c:v>
                </c:pt>
                <c:pt idx="84">
                  <c:v>28.35619184014195</c:v>
                </c:pt>
                <c:pt idx="85">
                  <c:v>28.812772949963779</c:v>
                </c:pt>
                <c:pt idx="86">
                  <c:v>29.292078702963025</c:v>
                </c:pt>
                <c:pt idx="87">
                  <c:v>29.766010180053115</c:v>
                </c:pt>
                <c:pt idx="88">
                  <c:v>30.208145981094461</c:v>
                </c:pt>
                <c:pt idx="89">
                  <c:v>30.610755331228695</c:v>
                </c:pt>
                <c:pt idx="90">
                  <c:v>30.985276259576718</c:v>
                </c:pt>
                <c:pt idx="91">
                  <c:v>31.333124996115725</c:v>
                </c:pt>
                <c:pt idx="92">
                  <c:v>31.698799194475772</c:v>
                </c:pt>
                <c:pt idx="93">
                  <c:v>32.012070969036401</c:v>
                </c:pt>
                <c:pt idx="94">
                  <c:v>32.391049238077279</c:v>
                </c:pt>
                <c:pt idx="95">
                  <c:v>32.786018455406278</c:v>
                </c:pt>
                <c:pt idx="96">
                  <c:v>33.223708051645588</c:v>
                </c:pt>
                <c:pt idx="97">
                  <c:v>33.69827930092449</c:v>
                </c:pt>
                <c:pt idx="98">
                  <c:v>34.156196142862548</c:v>
                </c:pt>
                <c:pt idx="99">
                  <c:v>34.631895133042939</c:v>
                </c:pt>
                <c:pt idx="100">
                  <c:v>35.0779496389248</c:v>
                </c:pt>
                <c:pt idx="101">
                  <c:v>35.5114565626603</c:v>
                </c:pt>
                <c:pt idx="102">
                  <c:v>35.879343142084636</c:v>
                </c:pt>
                <c:pt idx="103">
                  <c:v>36.243133305421594</c:v>
                </c:pt>
                <c:pt idx="104">
                  <c:v>36.579762283227147</c:v>
                </c:pt>
                <c:pt idx="105">
                  <c:v>36.916518004337881</c:v>
                </c:pt>
                <c:pt idx="106">
                  <c:v>37.293939500144155</c:v>
                </c:pt>
                <c:pt idx="107">
                  <c:v>37.747368767812333</c:v>
                </c:pt>
                <c:pt idx="108">
                  <c:v>38.204921881836952</c:v>
                </c:pt>
                <c:pt idx="109">
                  <c:v>38.669088012614075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697-4AF6-B306-F0C45B8EA301}"/>
            </c:ext>
          </c:extLst>
        </c:ser>
        <c:ser>
          <c:idx val="4"/>
          <c:order val="4"/>
          <c:tx>
            <c:v>Медиана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'5'!$A$7:$A$116</c:f>
              <c:numCache>
                <c:formatCode>General</c:formatCode>
                <c:ptCount val="1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</c:numCache>
            </c:numRef>
          </c:xVal>
          <c:yVal>
            <c:numRef>
              <c:f>'5'!$J$8:$J$115</c:f>
              <c:numCache>
                <c:formatCode>General</c:formatCode>
                <c:ptCount val="108"/>
                <c:pt idx="0">
                  <c:v>11.003063639522036</c:v>
                </c:pt>
                <c:pt idx="1">
                  <c:v>12.202758941539587</c:v>
                </c:pt>
                <c:pt idx="2">
                  <c:v>12.430399148574288</c:v>
                </c:pt>
                <c:pt idx="3">
                  <c:v>12.430399148574288</c:v>
                </c:pt>
                <c:pt idx="4">
                  <c:v>10.349887786929887</c:v>
                </c:pt>
                <c:pt idx="5">
                  <c:v>9.7391022713935964</c:v>
                </c:pt>
                <c:pt idx="6">
                  <c:v>7.7109174164203242</c:v>
                </c:pt>
                <c:pt idx="7">
                  <c:v>7.7109174164203242</c:v>
                </c:pt>
                <c:pt idx="8">
                  <c:v>7.993351075887464</c:v>
                </c:pt>
                <c:pt idx="9">
                  <c:v>9.7197165729358712</c:v>
                </c:pt>
                <c:pt idx="10">
                  <c:v>13.084332550347927</c:v>
                </c:pt>
                <c:pt idx="11">
                  <c:v>14.979764142557041</c:v>
                </c:pt>
                <c:pt idx="12">
                  <c:v>17.264187125670475</c:v>
                </c:pt>
                <c:pt idx="13">
                  <c:v>17.461300661229185</c:v>
                </c:pt>
                <c:pt idx="14">
                  <c:v>17.568959576006513</c:v>
                </c:pt>
                <c:pt idx="15">
                  <c:v>17.568959576006513</c:v>
                </c:pt>
                <c:pt idx="16">
                  <c:v>16.423376214201809</c:v>
                </c:pt>
                <c:pt idx="17">
                  <c:v>14.834478857991481</c:v>
                </c:pt>
                <c:pt idx="18">
                  <c:v>13.174769243441769</c:v>
                </c:pt>
                <c:pt idx="19">
                  <c:v>13.174769243441769</c:v>
                </c:pt>
                <c:pt idx="20">
                  <c:v>14.4098835612023</c:v>
                </c:pt>
                <c:pt idx="21">
                  <c:v>16.962948502866244</c:v>
                </c:pt>
                <c:pt idx="22">
                  <c:v>18.546712605856637</c:v>
                </c:pt>
                <c:pt idx="23">
                  <c:v>21.199305196127867</c:v>
                </c:pt>
                <c:pt idx="24">
                  <c:v>21.542566705007733</c:v>
                </c:pt>
                <c:pt idx="25">
                  <c:v>23.655037509379738</c:v>
                </c:pt>
                <c:pt idx="26">
                  <c:v>23.655037509379738</c:v>
                </c:pt>
                <c:pt idx="27">
                  <c:v>23.089382019956837</c:v>
                </c:pt>
                <c:pt idx="28">
                  <c:v>21.929572359745698</c:v>
                </c:pt>
                <c:pt idx="29">
                  <c:v>21.635467657509388</c:v>
                </c:pt>
                <c:pt idx="30">
                  <c:v>18.764110133379198</c:v>
                </c:pt>
                <c:pt idx="31">
                  <c:v>18.764110133379198</c:v>
                </c:pt>
                <c:pt idx="32">
                  <c:v>21.19123278169214</c:v>
                </c:pt>
                <c:pt idx="33">
                  <c:v>22.215621910498605</c:v>
                </c:pt>
                <c:pt idx="34">
                  <c:v>25.454594208016744</c:v>
                </c:pt>
                <c:pt idx="35">
                  <c:v>26.203594237379189</c:v>
                </c:pt>
                <c:pt idx="36">
                  <c:v>28.691997284324199</c:v>
                </c:pt>
                <c:pt idx="37">
                  <c:v>29.688974110752504</c:v>
                </c:pt>
                <c:pt idx="38">
                  <c:v>29.688974110752504</c:v>
                </c:pt>
                <c:pt idx="39">
                  <c:v>29.210765944360684</c:v>
                </c:pt>
                <c:pt idx="40">
                  <c:v>27.167810375205271</c:v>
                </c:pt>
                <c:pt idx="41">
                  <c:v>27.104603402683132</c:v>
                </c:pt>
                <c:pt idx="42">
                  <c:v>25.313032451744029</c:v>
                </c:pt>
                <c:pt idx="43">
                  <c:v>25.313032451744029</c:v>
                </c:pt>
                <c:pt idx="44">
                  <c:v>26.329045511482988</c:v>
                </c:pt>
                <c:pt idx="45">
                  <c:v>29.569808776581965</c:v>
                </c:pt>
                <c:pt idx="46">
                  <c:v>31.888958746900304</c:v>
                </c:pt>
                <c:pt idx="47">
                  <c:v>32.835038872960645</c:v>
                </c:pt>
                <c:pt idx="48">
                  <c:v>33.833463668749303</c:v>
                </c:pt>
                <c:pt idx="49">
                  <c:v>35.923823275197101</c:v>
                </c:pt>
                <c:pt idx="50">
                  <c:v>35.923823275197101</c:v>
                </c:pt>
                <c:pt idx="51">
                  <c:v>35.716375000043804</c:v>
                </c:pt>
                <c:pt idx="52">
                  <c:v>34.35275225974712</c:v>
                </c:pt>
                <c:pt idx="53">
                  <c:v>32.660603586730993</c:v>
                </c:pt>
                <c:pt idx="54">
                  <c:v>31.819125329689026</c:v>
                </c:pt>
                <c:pt idx="55">
                  <c:v>31.819125329689026</c:v>
                </c:pt>
                <c:pt idx="56">
                  <c:v>32.697376598836684</c:v>
                </c:pt>
                <c:pt idx="57">
                  <c:v>34.970355329301668</c:v>
                </c:pt>
                <c:pt idx="58">
                  <c:v>38.429393795240216</c:v>
                </c:pt>
                <c:pt idx="59">
                  <c:v>39.486274332453462</c:v>
                </c:pt>
                <c:pt idx="60">
                  <c:v>41.305611527964587</c:v>
                </c:pt>
                <c:pt idx="61">
                  <c:v>41.507520252700004</c:v>
                </c:pt>
                <c:pt idx="62">
                  <c:v>41.507520252700004</c:v>
                </c:pt>
                <c:pt idx="63">
                  <c:v>41.507520252700004</c:v>
                </c:pt>
                <c:pt idx="64">
                  <c:v>40.855574936948727</c:v>
                </c:pt>
                <c:pt idx="65">
                  <c:v>38.505560242405657</c:v>
                </c:pt>
                <c:pt idx="66">
                  <c:v>36.771687207151267</c:v>
                </c:pt>
                <c:pt idx="67">
                  <c:v>36.771687207151267</c:v>
                </c:pt>
                <c:pt idx="68">
                  <c:v>38.134692521531896</c:v>
                </c:pt>
                <c:pt idx="69">
                  <c:v>41.865594579177156</c:v>
                </c:pt>
                <c:pt idx="70">
                  <c:v>43.993680913093009</c:v>
                </c:pt>
                <c:pt idx="71">
                  <c:v>44.628404332251378</c:v>
                </c:pt>
                <c:pt idx="72">
                  <c:v>47.75125385663118</c:v>
                </c:pt>
                <c:pt idx="73">
                  <c:v>48.274116679747195</c:v>
                </c:pt>
                <c:pt idx="74">
                  <c:v>48.274116679747195</c:v>
                </c:pt>
                <c:pt idx="75">
                  <c:v>46.982839966947303</c:v>
                </c:pt>
                <c:pt idx="76">
                  <c:v>46.819163997596711</c:v>
                </c:pt>
                <c:pt idx="77">
                  <c:v>46.252559539234475</c:v>
                </c:pt>
                <c:pt idx="78">
                  <c:v>43.829690030075255</c:v>
                </c:pt>
                <c:pt idx="79">
                  <c:v>43.829690030075255</c:v>
                </c:pt>
                <c:pt idx="80">
                  <c:v>44.11727325605532</c:v>
                </c:pt>
                <c:pt idx="81">
                  <c:v>47.283543404383977</c:v>
                </c:pt>
                <c:pt idx="82">
                  <c:v>48.693245934351673</c:v>
                </c:pt>
                <c:pt idx="83">
                  <c:v>51.421193546264462</c:v>
                </c:pt>
                <c:pt idx="84">
                  <c:v>53.696443435253549</c:v>
                </c:pt>
                <c:pt idx="85">
                  <c:v>55.414242241421903</c:v>
                </c:pt>
                <c:pt idx="86">
                  <c:v>55.414242241421903</c:v>
                </c:pt>
                <c:pt idx="87">
                  <c:v>54.304547137847784</c:v>
                </c:pt>
                <c:pt idx="88">
                  <c:v>52.552964913544493</c:v>
                </c:pt>
                <c:pt idx="89">
                  <c:v>51.396666854544172</c:v>
                </c:pt>
                <c:pt idx="90">
                  <c:v>51.396666854544172</c:v>
                </c:pt>
                <c:pt idx="91">
                  <c:v>50.290881137491681</c:v>
                </c:pt>
                <c:pt idx="92">
                  <c:v>51.628043005098377</c:v>
                </c:pt>
                <c:pt idx="93">
                  <c:v>53.045364900805211</c:v>
                </c:pt>
                <c:pt idx="94">
                  <c:v>54.311840799836538</c:v>
                </c:pt>
                <c:pt idx="95">
                  <c:v>57.077791046687693</c:v>
                </c:pt>
                <c:pt idx="96">
                  <c:v>59.112664028486662</c:v>
                </c:pt>
                <c:pt idx="97">
                  <c:v>59.562412386624821</c:v>
                </c:pt>
                <c:pt idx="98">
                  <c:v>59.387920209486182</c:v>
                </c:pt>
                <c:pt idx="99">
                  <c:v>59.387920209486182</c:v>
                </c:pt>
                <c:pt idx="100">
                  <c:v>59.137583906244984</c:v>
                </c:pt>
                <c:pt idx="101">
                  <c:v>56.06969720728582</c:v>
                </c:pt>
                <c:pt idx="102">
                  <c:v>55.929161720710958</c:v>
                </c:pt>
                <c:pt idx="103">
                  <c:v>55.269704804873008</c:v>
                </c:pt>
                <c:pt idx="104">
                  <c:v>55.269704804873008</c:v>
                </c:pt>
                <c:pt idx="105">
                  <c:v>57.863411021585968</c:v>
                </c:pt>
                <c:pt idx="106">
                  <c:v>62.459263855728111</c:v>
                </c:pt>
                <c:pt idx="107">
                  <c:v>63.14156659617872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697-4AF6-B306-F0C45B8EA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211664"/>
        <c:axId val="379085696"/>
      </c:scatterChart>
      <c:valAx>
        <c:axId val="337211664"/>
        <c:scaling>
          <c:orientation val="minMax"/>
          <c:max val="1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9085696"/>
        <c:crosses val="autoZero"/>
        <c:crossBetween val="midCat"/>
      </c:valAx>
      <c:valAx>
        <c:axId val="379085696"/>
        <c:scaling>
          <c:orientation val="minMax"/>
          <c:max val="65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y(t)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7211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754629629629628"/>
          <c:y val="0.27806328076463499"/>
          <c:w val="0.15856481481481483"/>
          <c:h val="0.404505605850062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Мультипликативная</a:t>
            </a:r>
            <a:r>
              <a:rPr lang="ru-RU" baseline="0"/>
              <a:t> модель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5782407407407409"/>
          <c:w val="0.88386351706036748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'6'!$E$4</c:f>
              <c:strCache>
                <c:ptCount val="1"/>
                <c:pt idx="0">
                  <c:v>y(t)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'6'!$A$5:$A$114</c:f>
              <c:numCache>
                <c:formatCode>General</c:formatCode>
                <c:ptCount val="1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</c:numCache>
            </c:numRef>
          </c:xVal>
          <c:yVal>
            <c:numRef>
              <c:f>'6'!$E$5:$E$114</c:f>
              <c:numCache>
                <c:formatCode>General</c:formatCode>
                <c:ptCount val="110"/>
                <c:pt idx="0">
                  <c:v>7.9063095587282595</c:v>
                </c:pt>
                <c:pt idx="1">
                  <c:v>9.3839375006973107</c:v>
                </c:pt>
                <c:pt idx="2">
                  <c:v>10.001953833855472</c:v>
                </c:pt>
                <c:pt idx="3">
                  <c:v>10.890748671540411</c:v>
                </c:pt>
                <c:pt idx="4">
                  <c:v>10.894734703454827</c:v>
                </c:pt>
                <c:pt idx="5">
                  <c:v>9.7455613593899599</c:v>
                </c:pt>
                <c:pt idx="6">
                  <c:v>8.5537795434161179</c:v>
                </c:pt>
                <c:pt idx="7">
                  <c:v>9.2351584223858261</c:v>
                </c:pt>
                <c:pt idx="8">
                  <c:v>9.4156695246932429</c:v>
                </c:pt>
                <c:pt idx="9">
                  <c:v>9.3413068821330665</c:v>
                </c:pt>
                <c:pt idx="10">
                  <c:v>10.400121211351225</c:v>
                </c:pt>
                <c:pt idx="11">
                  <c:v>13.117198402541995</c:v>
                </c:pt>
                <c:pt idx="12">
                  <c:v>13.983017611715201</c:v>
                </c:pt>
                <c:pt idx="13">
                  <c:v>16.446100123573078</c:v>
                </c:pt>
                <c:pt idx="14">
                  <c:v>19.758335768248564</c:v>
                </c:pt>
                <c:pt idx="15">
                  <c:v>18.254491444817567</c:v>
                </c:pt>
                <c:pt idx="16">
                  <c:v>17.40944873925007</c:v>
                </c:pt>
                <c:pt idx="17">
                  <c:v>14.831939698914283</c:v>
                </c:pt>
                <c:pt idx="18">
                  <c:v>15.765511036695791</c:v>
                </c:pt>
                <c:pt idx="19">
                  <c:v>15.044560251229504</c:v>
                </c:pt>
                <c:pt idx="20">
                  <c:v>12.256658728781714</c:v>
                </c:pt>
                <c:pt idx="21">
                  <c:v>15.595550413824672</c:v>
                </c:pt>
                <c:pt idx="22">
                  <c:v>17.348693832210234</c:v>
                </c:pt>
                <c:pt idx="23">
                  <c:v>21.444818687742345</c:v>
                </c:pt>
                <c:pt idx="24">
                  <c:v>20.96459874369587</c:v>
                </c:pt>
                <c:pt idx="25">
                  <c:v>23.248411149689378</c:v>
                </c:pt>
                <c:pt idx="26">
                  <c:v>25.667929631453529</c:v>
                </c:pt>
                <c:pt idx="27">
                  <c:v>23.67558603943575</c:v>
                </c:pt>
                <c:pt idx="28">
                  <c:v>21.020641154878938</c:v>
                </c:pt>
                <c:pt idx="29">
                  <c:v>19.467012467280501</c:v>
                </c:pt>
                <c:pt idx="30">
                  <c:v>22.286096368126412</c:v>
                </c:pt>
                <c:pt idx="31">
                  <c:v>18.671010403169802</c:v>
                </c:pt>
                <c:pt idx="32">
                  <c:v>18.527921184928442</c:v>
                </c:pt>
                <c:pt idx="33">
                  <c:v>19.17257092724919</c:v>
                </c:pt>
                <c:pt idx="34">
                  <c:v>23.915663664224621</c:v>
                </c:pt>
                <c:pt idx="35">
                  <c:v>22.874684114644872</c:v>
                </c:pt>
                <c:pt idx="36">
                  <c:v>27.641899557802628</c:v>
                </c:pt>
                <c:pt idx="37">
                  <c:v>29.926383496506261</c:v>
                </c:pt>
                <c:pt idx="38">
                  <c:v>31.864300678188986</c:v>
                </c:pt>
                <c:pt idx="39">
                  <c:v>30.490162048432396</c:v>
                </c:pt>
                <c:pt idx="40">
                  <c:v>31.534347621491825</c:v>
                </c:pt>
                <c:pt idx="41">
                  <c:v>28.061472442222438</c:v>
                </c:pt>
                <c:pt idx="42">
                  <c:v>27.014384581951642</c:v>
                </c:pt>
                <c:pt idx="43">
                  <c:v>23.858076301788664</c:v>
                </c:pt>
                <c:pt idx="44">
                  <c:v>21.759900959834916</c:v>
                </c:pt>
                <c:pt idx="45">
                  <c:v>25.488051419375232</c:v>
                </c:pt>
                <c:pt idx="46">
                  <c:v>29.037523971843839</c:v>
                </c:pt>
                <c:pt idx="47">
                  <c:v>29.434496005969027</c:v>
                </c:pt>
                <c:pt idx="48">
                  <c:v>32.254410165896829</c:v>
                </c:pt>
                <c:pt idx="49">
                  <c:v>35.781007621460546</c:v>
                </c:pt>
                <c:pt idx="50">
                  <c:v>37.780061320305322</c:v>
                </c:pt>
                <c:pt idx="51">
                  <c:v>38.517892859085649</c:v>
                </c:pt>
                <c:pt idx="52">
                  <c:v>35.839629362058012</c:v>
                </c:pt>
                <c:pt idx="53">
                  <c:v>34.411299695366885</c:v>
                </c:pt>
                <c:pt idx="54">
                  <c:v>31.683580189171344</c:v>
                </c:pt>
                <c:pt idx="55">
                  <c:v>30.890358163565089</c:v>
                </c:pt>
                <c:pt idx="56">
                  <c:v>27.371505345546939</c:v>
                </c:pt>
                <c:pt idx="57">
                  <c:v>28.994985535548885</c:v>
                </c:pt>
                <c:pt idx="58">
                  <c:v>33.435364929584146</c:v>
                </c:pt>
                <c:pt idx="59">
                  <c:v>37.239889947224334</c:v>
                </c:pt>
                <c:pt idx="60">
                  <c:v>44.069885614658439</c:v>
                </c:pt>
                <c:pt idx="61">
                  <c:v>44.171105571572177</c:v>
                </c:pt>
                <c:pt idx="62">
                  <c:v>48.992985240639193</c:v>
                </c:pt>
                <c:pt idx="63">
                  <c:v>46.409389676861736</c:v>
                </c:pt>
                <c:pt idx="64">
                  <c:v>42.440906291758878</c:v>
                </c:pt>
                <c:pt idx="65">
                  <c:v>39.637003040735841</c:v>
                </c:pt>
                <c:pt idx="66">
                  <c:v>35.11998149077894</c:v>
                </c:pt>
                <c:pt idx="67">
                  <c:v>33.775942779440605</c:v>
                </c:pt>
                <c:pt idx="68">
                  <c:v>31.872372640854383</c:v>
                </c:pt>
                <c:pt idx="69">
                  <c:v>36.782119935833137</c:v>
                </c:pt>
                <c:pt idx="70">
                  <c:v>40.915823811740395</c:v>
                </c:pt>
                <c:pt idx="71">
                  <c:v>37.270121990280515</c:v>
                </c:pt>
                <c:pt idx="72">
                  <c:v>48.851427900332283</c:v>
                </c:pt>
                <c:pt idx="73">
                  <c:v>55.711572622965363</c:v>
                </c:pt>
                <c:pt idx="74">
                  <c:v>55.912547809418321</c:v>
                </c:pt>
                <c:pt idx="75">
                  <c:v>46.519407534206579</c:v>
                </c:pt>
                <c:pt idx="76">
                  <c:v>49.595669051446485</c:v>
                </c:pt>
                <c:pt idx="77">
                  <c:v>45.367644202297498</c:v>
                </c:pt>
                <c:pt idx="78">
                  <c:v>46.122287644036334</c:v>
                </c:pt>
                <c:pt idx="79">
                  <c:v>40.856190141265607</c:v>
                </c:pt>
                <c:pt idx="80">
                  <c:v>38.703923594593839</c:v>
                </c:pt>
                <c:pt idx="81">
                  <c:v>40.500110818218907</c:v>
                </c:pt>
                <c:pt idx="82">
                  <c:v>40.442381178137012</c:v>
                </c:pt>
                <c:pt idx="83">
                  <c:v>53.502501756827286</c:v>
                </c:pt>
                <c:pt idx="84">
                  <c:v>57.822379596788259</c:v>
                </c:pt>
                <c:pt idx="85">
                  <c:v>60.668977319385604</c:v>
                </c:pt>
                <c:pt idx="86">
                  <c:v>59.227341097673495</c:v>
                </c:pt>
                <c:pt idx="87">
                  <c:v>59.427164276309618</c:v>
                </c:pt>
                <c:pt idx="88">
                  <c:v>53.901868946727774</c:v>
                </c:pt>
                <c:pt idx="89">
                  <c:v>51.86424420757718</c:v>
                </c:pt>
                <c:pt idx="90">
                  <c:v>47.005573350023113</c:v>
                </c:pt>
                <c:pt idx="91">
                  <c:v>42.296235714923718</c:v>
                </c:pt>
                <c:pt idx="92">
                  <c:v>44.411926590289788</c:v>
                </c:pt>
                <c:pt idx="93">
                  <c:v>47.121815420181377</c:v>
                </c:pt>
                <c:pt idx="94">
                  <c:v>44.24650569140443</c:v>
                </c:pt>
                <c:pt idx="95">
                  <c:v>53.41269096580578</c:v>
                </c:pt>
                <c:pt idx="96">
                  <c:v>62.663732620334194</c:v>
                </c:pt>
                <c:pt idx="97">
                  <c:v>62.975186085033513</c:v>
                </c:pt>
                <c:pt idx="98">
                  <c:v>72.704641357023931</c:v>
                </c:pt>
                <c:pt idx="99">
                  <c:v>60.938997321840191</c:v>
                </c:pt>
                <c:pt idx="100">
                  <c:v>62.961577679070665</c:v>
                </c:pt>
                <c:pt idx="101">
                  <c:v>58.715339468386553</c:v>
                </c:pt>
                <c:pt idx="102">
                  <c:v>51.790915037636069</c:v>
                </c:pt>
                <c:pt idx="103">
                  <c:v>50.756866574260883</c:v>
                </c:pt>
                <c:pt idx="104">
                  <c:v>53.45341778917247</c:v>
                </c:pt>
                <c:pt idx="105">
                  <c:v>49.301723579127071</c:v>
                </c:pt>
                <c:pt idx="106">
                  <c:v>50.43918610330612</c:v>
                </c:pt>
                <c:pt idx="107">
                  <c:v>58.257554486125983</c:v>
                </c:pt>
                <c:pt idx="108">
                  <c:v>68.27663684811408</c:v>
                </c:pt>
                <c:pt idx="109">
                  <c:v>75.425406274209678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E5-468F-8223-563DD966A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122232"/>
        <c:axId val="452122888"/>
      </c:scatterChart>
      <c:valAx>
        <c:axId val="452122232"/>
        <c:scaling>
          <c:orientation val="minMax"/>
          <c:max val="1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2122888"/>
        <c:crosses val="autoZero"/>
        <c:crossBetween val="midCat"/>
      </c:valAx>
      <c:valAx>
        <c:axId val="452122888"/>
        <c:scaling>
          <c:orientation val="minMax"/>
          <c:max val="80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2122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874649896950794E-2"/>
          <c:y val="5.6587091069849688E-2"/>
          <c:w val="0.86614779192869351"/>
          <c:h val="0.87905121939333175"/>
        </c:manualLayout>
      </c:layout>
      <c:scatterChart>
        <c:scatterStyle val="lineMarker"/>
        <c:varyColors val="0"/>
        <c:ser>
          <c:idx val="0"/>
          <c:order val="0"/>
          <c:tx>
            <c:strRef>
              <c:f>'7'!$E$1</c:f>
              <c:strCache>
                <c:ptCount val="1"/>
                <c:pt idx="0">
                  <c:v>&lt;CLOSE&gt;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'7'!$A$2:$A$45</c:f>
              <c:numCache>
                <c:formatCode>[$-419]mmmm\ yyyy;@</c:formatCode>
                <c:ptCount val="44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</c:numCache>
            </c:numRef>
          </c:xVal>
          <c:yVal>
            <c:numRef>
              <c:f>'7'!$E$2:$E$45</c:f>
              <c:numCache>
                <c:formatCode>General</c:formatCode>
                <c:ptCount val="44"/>
                <c:pt idx="0">
                  <c:v>434.6</c:v>
                </c:pt>
                <c:pt idx="1">
                  <c:v>419.7</c:v>
                </c:pt>
                <c:pt idx="2">
                  <c:v>414</c:v>
                </c:pt>
                <c:pt idx="3">
                  <c:v>411.95</c:v>
                </c:pt>
                <c:pt idx="4">
                  <c:v>411.6</c:v>
                </c:pt>
                <c:pt idx="5">
                  <c:v>403.5</c:v>
                </c:pt>
                <c:pt idx="6">
                  <c:v>401.5</c:v>
                </c:pt>
                <c:pt idx="7">
                  <c:v>398.25</c:v>
                </c:pt>
                <c:pt idx="8">
                  <c:v>402</c:v>
                </c:pt>
                <c:pt idx="9">
                  <c:v>401.25</c:v>
                </c:pt>
                <c:pt idx="10">
                  <c:v>408.4</c:v>
                </c:pt>
                <c:pt idx="11">
                  <c:v>412</c:v>
                </c:pt>
                <c:pt idx="12">
                  <c:v>421.5</c:v>
                </c:pt>
                <c:pt idx="13">
                  <c:v>432.5</c:v>
                </c:pt>
                <c:pt idx="14">
                  <c:v>432</c:v>
                </c:pt>
                <c:pt idx="15">
                  <c:v>434.45</c:v>
                </c:pt>
                <c:pt idx="16">
                  <c:v>423.55</c:v>
                </c:pt>
                <c:pt idx="17">
                  <c:v>413.75</c:v>
                </c:pt>
                <c:pt idx="18">
                  <c:v>413</c:v>
                </c:pt>
                <c:pt idx="19">
                  <c:v>423</c:v>
                </c:pt>
                <c:pt idx="20">
                  <c:v>433</c:v>
                </c:pt>
                <c:pt idx="21">
                  <c:v>419.55</c:v>
                </c:pt>
                <c:pt idx="22">
                  <c:v>408</c:v>
                </c:pt>
                <c:pt idx="23">
                  <c:v>419.1</c:v>
                </c:pt>
                <c:pt idx="24">
                  <c:v>414.5</c:v>
                </c:pt>
                <c:pt idx="25">
                  <c:v>418.65</c:v>
                </c:pt>
                <c:pt idx="26">
                  <c:v>419.25</c:v>
                </c:pt>
                <c:pt idx="27">
                  <c:v>420.45</c:v>
                </c:pt>
                <c:pt idx="28">
                  <c:v>423.5</c:v>
                </c:pt>
                <c:pt idx="29">
                  <c:v>411.75</c:v>
                </c:pt>
                <c:pt idx="30">
                  <c:v>404.6</c:v>
                </c:pt>
                <c:pt idx="31">
                  <c:v>404.75</c:v>
                </c:pt>
                <c:pt idx="32">
                  <c:v>405.6</c:v>
                </c:pt>
                <c:pt idx="33">
                  <c:v>406.95</c:v>
                </c:pt>
                <c:pt idx="34">
                  <c:v>422.9</c:v>
                </c:pt>
                <c:pt idx="35">
                  <c:v>410.05</c:v>
                </c:pt>
                <c:pt idx="36">
                  <c:v>428.3</c:v>
                </c:pt>
                <c:pt idx="37">
                  <c:v>422.5</c:v>
                </c:pt>
                <c:pt idx="38">
                  <c:v>415</c:v>
                </c:pt>
                <c:pt idx="39">
                  <c:v>411.65</c:v>
                </c:pt>
                <c:pt idx="40">
                  <c:v>415</c:v>
                </c:pt>
                <c:pt idx="41">
                  <c:v>421.35</c:v>
                </c:pt>
                <c:pt idx="42">
                  <c:v>434.4</c:v>
                </c:pt>
                <c:pt idx="43">
                  <c:v>449.6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4F-40B6-B413-FA9DAD7B7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510184"/>
        <c:axId val="538511168"/>
      </c:scatterChart>
      <c:valAx>
        <c:axId val="538510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19]mmmm\ yy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8511168"/>
        <c:crosses val="autoZero"/>
        <c:crossBetween val="midCat"/>
      </c:valAx>
      <c:valAx>
        <c:axId val="53851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8510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Биржевой график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7794057794057795E-2"/>
          <c:y val="0.12425460636515914"/>
          <c:w val="0.93564650572524588"/>
          <c:h val="0.72139569237262424"/>
        </c:manualLayout>
      </c:layout>
      <c:stockChart>
        <c:ser>
          <c:idx val="0"/>
          <c:order val="0"/>
          <c:tx>
            <c:strRef>
              <c:f>'7'!$B$1</c:f>
              <c:strCache>
                <c:ptCount val="1"/>
                <c:pt idx="0">
                  <c:v>&lt;OPEN&gt;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'7'!$B$2:$B$45</c:f>
              <c:numCache>
                <c:formatCode>General</c:formatCode>
                <c:ptCount val="44"/>
                <c:pt idx="0">
                  <c:v>427</c:v>
                </c:pt>
                <c:pt idx="1">
                  <c:v>434.05</c:v>
                </c:pt>
                <c:pt idx="2">
                  <c:v>421.25</c:v>
                </c:pt>
                <c:pt idx="3">
                  <c:v>412.8</c:v>
                </c:pt>
                <c:pt idx="4">
                  <c:v>412.9</c:v>
                </c:pt>
                <c:pt idx="5">
                  <c:v>412.5</c:v>
                </c:pt>
                <c:pt idx="6">
                  <c:v>403.55</c:v>
                </c:pt>
                <c:pt idx="7">
                  <c:v>400.45</c:v>
                </c:pt>
                <c:pt idx="8">
                  <c:v>399.45</c:v>
                </c:pt>
                <c:pt idx="9">
                  <c:v>401.95</c:v>
                </c:pt>
                <c:pt idx="10">
                  <c:v>399.15</c:v>
                </c:pt>
                <c:pt idx="11">
                  <c:v>405.7</c:v>
                </c:pt>
                <c:pt idx="12">
                  <c:v>413.15</c:v>
                </c:pt>
                <c:pt idx="13">
                  <c:v>422.85</c:v>
                </c:pt>
                <c:pt idx="14">
                  <c:v>432.2</c:v>
                </c:pt>
                <c:pt idx="15">
                  <c:v>434.3</c:v>
                </c:pt>
                <c:pt idx="16">
                  <c:v>433.35</c:v>
                </c:pt>
                <c:pt idx="17">
                  <c:v>421.2</c:v>
                </c:pt>
                <c:pt idx="18">
                  <c:v>415.1</c:v>
                </c:pt>
                <c:pt idx="19">
                  <c:v>414</c:v>
                </c:pt>
                <c:pt idx="20">
                  <c:v>422.6</c:v>
                </c:pt>
                <c:pt idx="21">
                  <c:v>429</c:v>
                </c:pt>
                <c:pt idx="22">
                  <c:v>421.8</c:v>
                </c:pt>
                <c:pt idx="23">
                  <c:v>409.15</c:v>
                </c:pt>
                <c:pt idx="24">
                  <c:v>419</c:v>
                </c:pt>
                <c:pt idx="25">
                  <c:v>417</c:v>
                </c:pt>
                <c:pt idx="26">
                  <c:v>417.9</c:v>
                </c:pt>
                <c:pt idx="27">
                  <c:v>421.45</c:v>
                </c:pt>
                <c:pt idx="28">
                  <c:v>417.15</c:v>
                </c:pt>
                <c:pt idx="29">
                  <c:v>424.45</c:v>
                </c:pt>
                <c:pt idx="30">
                  <c:v>411.65</c:v>
                </c:pt>
                <c:pt idx="31">
                  <c:v>405</c:v>
                </c:pt>
                <c:pt idx="32">
                  <c:v>406.5</c:v>
                </c:pt>
                <c:pt idx="33">
                  <c:v>403</c:v>
                </c:pt>
                <c:pt idx="34">
                  <c:v>407</c:v>
                </c:pt>
                <c:pt idx="35">
                  <c:v>423.55</c:v>
                </c:pt>
                <c:pt idx="36">
                  <c:v>418.55</c:v>
                </c:pt>
                <c:pt idx="37">
                  <c:v>428.3</c:v>
                </c:pt>
                <c:pt idx="38">
                  <c:v>422.2</c:v>
                </c:pt>
                <c:pt idx="39">
                  <c:v>416.65</c:v>
                </c:pt>
                <c:pt idx="40">
                  <c:v>411.65</c:v>
                </c:pt>
                <c:pt idx="41">
                  <c:v>415</c:v>
                </c:pt>
                <c:pt idx="42">
                  <c:v>422.2</c:v>
                </c:pt>
                <c:pt idx="43">
                  <c:v>437.8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05-4C56-8991-4DCC8E722C63}"/>
            </c:ext>
          </c:extLst>
        </c:ser>
        <c:ser>
          <c:idx val="1"/>
          <c:order val="1"/>
          <c:tx>
            <c:strRef>
              <c:f>'7'!$C$1</c:f>
              <c:strCache>
                <c:ptCount val="1"/>
                <c:pt idx="0">
                  <c:v>&lt;HIGH&gt;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'7'!$C$2:$C$45</c:f>
              <c:numCache>
                <c:formatCode>General</c:formatCode>
                <c:ptCount val="44"/>
                <c:pt idx="0">
                  <c:v>435.3</c:v>
                </c:pt>
                <c:pt idx="1">
                  <c:v>434.05</c:v>
                </c:pt>
                <c:pt idx="2">
                  <c:v>424.8</c:v>
                </c:pt>
                <c:pt idx="3">
                  <c:v>418.6</c:v>
                </c:pt>
                <c:pt idx="4">
                  <c:v>429.75</c:v>
                </c:pt>
                <c:pt idx="5">
                  <c:v>418.75</c:v>
                </c:pt>
                <c:pt idx="6">
                  <c:v>408.35</c:v>
                </c:pt>
                <c:pt idx="7">
                  <c:v>404.15</c:v>
                </c:pt>
                <c:pt idx="8">
                  <c:v>403</c:v>
                </c:pt>
                <c:pt idx="9">
                  <c:v>407.8</c:v>
                </c:pt>
                <c:pt idx="10">
                  <c:v>410.7</c:v>
                </c:pt>
                <c:pt idx="11">
                  <c:v>412.9</c:v>
                </c:pt>
                <c:pt idx="12">
                  <c:v>425.75</c:v>
                </c:pt>
                <c:pt idx="13">
                  <c:v>437.25</c:v>
                </c:pt>
                <c:pt idx="14">
                  <c:v>441</c:v>
                </c:pt>
                <c:pt idx="15">
                  <c:v>449</c:v>
                </c:pt>
                <c:pt idx="16">
                  <c:v>435.75</c:v>
                </c:pt>
                <c:pt idx="17">
                  <c:v>427.25</c:v>
                </c:pt>
                <c:pt idx="18">
                  <c:v>423.05</c:v>
                </c:pt>
                <c:pt idx="19">
                  <c:v>427.85</c:v>
                </c:pt>
                <c:pt idx="20">
                  <c:v>440.95</c:v>
                </c:pt>
                <c:pt idx="21">
                  <c:v>445.05</c:v>
                </c:pt>
                <c:pt idx="22">
                  <c:v>425.6</c:v>
                </c:pt>
                <c:pt idx="23">
                  <c:v>420</c:v>
                </c:pt>
                <c:pt idx="24">
                  <c:v>420.75</c:v>
                </c:pt>
                <c:pt idx="25">
                  <c:v>424.55</c:v>
                </c:pt>
                <c:pt idx="26">
                  <c:v>425.9</c:v>
                </c:pt>
                <c:pt idx="27">
                  <c:v>422.3</c:v>
                </c:pt>
                <c:pt idx="28">
                  <c:v>431.15</c:v>
                </c:pt>
                <c:pt idx="29">
                  <c:v>425.5</c:v>
                </c:pt>
                <c:pt idx="30">
                  <c:v>413.85</c:v>
                </c:pt>
                <c:pt idx="31">
                  <c:v>408.45</c:v>
                </c:pt>
                <c:pt idx="32">
                  <c:v>416.05</c:v>
                </c:pt>
                <c:pt idx="33">
                  <c:v>409.35</c:v>
                </c:pt>
                <c:pt idx="34">
                  <c:v>422.9</c:v>
                </c:pt>
                <c:pt idx="35">
                  <c:v>424.45</c:v>
                </c:pt>
                <c:pt idx="36">
                  <c:v>440.9</c:v>
                </c:pt>
                <c:pt idx="37">
                  <c:v>431.5</c:v>
                </c:pt>
                <c:pt idx="38">
                  <c:v>423.25</c:v>
                </c:pt>
                <c:pt idx="39">
                  <c:v>422.9</c:v>
                </c:pt>
                <c:pt idx="40">
                  <c:v>418.6</c:v>
                </c:pt>
                <c:pt idx="41">
                  <c:v>422.5</c:v>
                </c:pt>
                <c:pt idx="42">
                  <c:v>435.5</c:v>
                </c:pt>
                <c:pt idx="43">
                  <c:v>453.45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05-4C56-8991-4DCC8E722C63}"/>
            </c:ext>
          </c:extLst>
        </c:ser>
        <c:ser>
          <c:idx val="2"/>
          <c:order val="2"/>
          <c:tx>
            <c:strRef>
              <c:f>'7'!$D$1</c:f>
              <c:strCache>
                <c:ptCount val="1"/>
                <c:pt idx="0">
                  <c:v>&lt;LOW&gt;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'7'!$D$2:$D$45</c:f>
              <c:numCache>
                <c:formatCode>General</c:formatCode>
                <c:ptCount val="44"/>
                <c:pt idx="0">
                  <c:v>420.65</c:v>
                </c:pt>
                <c:pt idx="1">
                  <c:v>414.2</c:v>
                </c:pt>
                <c:pt idx="2">
                  <c:v>404.6</c:v>
                </c:pt>
                <c:pt idx="3">
                  <c:v>406.3</c:v>
                </c:pt>
                <c:pt idx="4">
                  <c:v>408.5</c:v>
                </c:pt>
                <c:pt idx="5">
                  <c:v>390.75</c:v>
                </c:pt>
                <c:pt idx="6">
                  <c:v>394.4</c:v>
                </c:pt>
                <c:pt idx="7">
                  <c:v>392.7</c:v>
                </c:pt>
                <c:pt idx="8">
                  <c:v>394.55</c:v>
                </c:pt>
                <c:pt idx="9">
                  <c:v>395</c:v>
                </c:pt>
                <c:pt idx="10">
                  <c:v>396.2</c:v>
                </c:pt>
                <c:pt idx="11">
                  <c:v>400</c:v>
                </c:pt>
                <c:pt idx="12">
                  <c:v>411.9</c:v>
                </c:pt>
                <c:pt idx="13">
                  <c:v>413.6</c:v>
                </c:pt>
                <c:pt idx="14">
                  <c:v>426.4</c:v>
                </c:pt>
                <c:pt idx="15">
                  <c:v>428.05</c:v>
                </c:pt>
                <c:pt idx="16">
                  <c:v>421.8</c:v>
                </c:pt>
                <c:pt idx="17">
                  <c:v>413.55</c:v>
                </c:pt>
                <c:pt idx="18">
                  <c:v>410.6</c:v>
                </c:pt>
                <c:pt idx="19">
                  <c:v>408</c:v>
                </c:pt>
                <c:pt idx="20">
                  <c:v>422.3</c:v>
                </c:pt>
                <c:pt idx="21">
                  <c:v>419.3</c:v>
                </c:pt>
                <c:pt idx="22">
                  <c:v>408</c:v>
                </c:pt>
                <c:pt idx="23">
                  <c:v>407.1</c:v>
                </c:pt>
                <c:pt idx="24">
                  <c:v>410.4</c:v>
                </c:pt>
                <c:pt idx="25">
                  <c:v>414.75</c:v>
                </c:pt>
                <c:pt idx="26">
                  <c:v>415.05</c:v>
                </c:pt>
                <c:pt idx="27">
                  <c:v>416.5</c:v>
                </c:pt>
                <c:pt idx="28">
                  <c:v>415.25</c:v>
                </c:pt>
                <c:pt idx="29">
                  <c:v>411.75</c:v>
                </c:pt>
                <c:pt idx="30">
                  <c:v>404.3</c:v>
                </c:pt>
                <c:pt idx="31">
                  <c:v>397.7</c:v>
                </c:pt>
                <c:pt idx="32">
                  <c:v>402.3</c:v>
                </c:pt>
                <c:pt idx="33">
                  <c:v>402.95</c:v>
                </c:pt>
                <c:pt idx="34">
                  <c:v>406</c:v>
                </c:pt>
                <c:pt idx="35">
                  <c:v>408.85</c:v>
                </c:pt>
                <c:pt idx="36">
                  <c:v>415.05</c:v>
                </c:pt>
                <c:pt idx="37">
                  <c:v>421.85</c:v>
                </c:pt>
                <c:pt idx="38">
                  <c:v>410.7</c:v>
                </c:pt>
                <c:pt idx="39">
                  <c:v>407.05</c:v>
                </c:pt>
                <c:pt idx="40">
                  <c:v>410.25</c:v>
                </c:pt>
                <c:pt idx="41">
                  <c:v>411.5</c:v>
                </c:pt>
                <c:pt idx="42">
                  <c:v>419.1</c:v>
                </c:pt>
                <c:pt idx="43">
                  <c:v>434.45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05-4C56-8991-4DCC8E722C63}"/>
            </c:ext>
          </c:extLst>
        </c:ser>
        <c:ser>
          <c:idx val="3"/>
          <c:order val="3"/>
          <c:tx>
            <c:strRef>
              <c:f>'7'!$E$1</c:f>
              <c:strCache>
                <c:ptCount val="1"/>
                <c:pt idx="0">
                  <c:v>&lt;CLOSE&gt;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'7'!$E$2:$E$45</c:f>
              <c:numCache>
                <c:formatCode>General</c:formatCode>
                <c:ptCount val="44"/>
                <c:pt idx="0">
                  <c:v>434.6</c:v>
                </c:pt>
                <c:pt idx="1">
                  <c:v>419.7</c:v>
                </c:pt>
                <c:pt idx="2">
                  <c:v>414</c:v>
                </c:pt>
                <c:pt idx="3">
                  <c:v>411.95</c:v>
                </c:pt>
                <c:pt idx="4">
                  <c:v>411.6</c:v>
                </c:pt>
                <c:pt idx="5">
                  <c:v>403.5</c:v>
                </c:pt>
                <c:pt idx="6">
                  <c:v>401.5</c:v>
                </c:pt>
                <c:pt idx="7">
                  <c:v>398.25</c:v>
                </c:pt>
                <c:pt idx="8">
                  <c:v>402</c:v>
                </c:pt>
                <c:pt idx="9">
                  <c:v>401.25</c:v>
                </c:pt>
                <c:pt idx="10">
                  <c:v>408.4</c:v>
                </c:pt>
                <c:pt idx="11">
                  <c:v>412</c:v>
                </c:pt>
                <c:pt idx="12">
                  <c:v>421.5</c:v>
                </c:pt>
                <c:pt idx="13">
                  <c:v>432.5</c:v>
                </c:pt>
                <c:pt idx="14">
                  <c:v>432</c:v>
                </c:pt>
                <c:pt idx="15">
                  <c:v>434.45</c:v>
                </c:pt>
                <c:pt idx="16">
                  <c:v>423.55</c:v>
                </c:pt>
                <c:pt idx="17">
                  <c:v>413.75</c:v>
                </c:pt>
                <c:pt idx="18">
                  <c:v>413</c:v>
                </c:pt>
                <c:pt idx="19">
                  <c:v>423</c:v>
                </c:pt>
                <c:pt idx="20">
                  <c:v>433</c:v>
                </c:pt>
                <c:pt idx="21">
                  <c:v>419.55</c:v>
                </c:pt>
                <c:pt idx="22">
                  <c:v>408</c:v>
                </c:pt>
                <c:pt idx="23">
                  <c:v>419.1</c:v>
                </c:pt>
                <c:pt idx="24">
                  <c:v>414.5</c:v>
                </c:pt>
                <c:pt idx="25">
                  <c:v>418.65</c:v>
                </c:pt>
                <c:pt idx="26">
                  <c:v>419.25</c:v>
                </c:pt>
                <c:pt idx="27">
                  <c:v>420.45</c:v>
                </c:pt>
                <c:pt idx="28">
                  <c:v>423.5</c:v>
                </c:pt>
                <c:pt idx="29">
                  <c:v>411.75</c:v>
                </c:pt>
                <c:pt idx="30">
                  <c:v>404.6</c:v>
                </c:pt>
                <c:pt idx="31">
                  <c:v>404.75</c:v>
                </c:pt>
                <c:pt idx="32">
                  <c:v>405.6</c:v>
                </c:pt>
                <c:pt idx="33">
                  <c:v>406.95</c:v>
                </c:pt>
                <c:pt idx="34">
                  <c:v>422.9</c:v>
                </c:pt>
                <c:pt idx="35">
                  <c:v>410.05</c:v>
                </c:pt>
                <c:pt idx="36">
                  <c:v>428.3</c:v>
                </c:pt>
                <c:pt idx="37">
                  <c:v>422.5</c:v>
                </c:pt>
                <c:pt idx="38">
                  <c:v>415</c:v>
                </c:pt>
                <c:pt idx="39">
                  <c:v>411.65</c:v>
                </c:pt>
                <c:pt idx="40">
                  <c:v>415</c:v>
                </c:pt>
                <c:pt idx="41">
                  <c:v>421.35</c:v>
                </c:pt>
                <c:pt idx="42">
                  <c:v>434.4</c:v>
                </c:pt>
                <c:pt idx="43">
                  <c:v>449.6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05-4C56-8991-4DCC8E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527591792"/>
        <c:axId val="527592120"/>
      </c:stockChart>
      <c:catAx>
        <c:axId val="527591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592120"/>
        <c:crosses val="autoZero"/>
        <c:auto val="1"/>
        <c:lblAlgn val="ctr"/>
        <c:lblOffset val="100"/>
        <c:noMultiLvlLbl val="0"/>
      </c:catAx>
      <c:valAx>
        <c:axId val="527592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59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tockChart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'7'!$A$2:$A$45</c:f>
              <c:numCache>
                <c:formatCode>[$-419]mmmm\ yyyy;@</c:formatCode>
                <c:ptCount val="44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</c:numCache>
            </c:numRef>
          </c:cat>
          <c:val>
            <c:numRef>
              <c:f>'7'!$B$2:$B$45</c:f>
              <c:numCache>
                <c:formatCode>General</c:formatCode>
                <c:ptCount val="44"/>
                <c:pt idx="0">
                  <c:v>427</c:v>
                </c:pt>
                <c:pt idx="1">
                  <c:v>434.05</c:v>
                </c:pt>
                <c:pt idx="2">
                  <c:v>421.25</c:v>
                </c:pt>
                <c:pt idx="3">
                  <c:v>412.8</c:v>
                </c:pt>
                <c:pt idx="4">
                  <c:v>412.9</c:v>
                </c:pt>
                <c:pt idx="5">
                  <c:v>412.5</c:v>
                </c:pt>
                <c:pt idx="6">
                  <c:v>403.55</c:v>
                </c:pt>
                <c:pt idx="7">
                  <c:v>400.45</c:v>
                </c:pt>
                <c:pt idx="8">
                  <c:v>399.45</c:v>
                </c:pt>
                <c:pt idx="9">
                  <c:v>401.95</c:v>
                </c:pt>
                <c:pt idx="10">
                  <c:v>399.15</c:v>
                </c:pt>
                <c:pt idx="11">
                  <c:v>405.7</c:v>
                </c:pt>
                <c:pt idx="12">
                  <c:v>413.15</c:v>
                </c:pt>
                <c:pt idx="13">
                  <c:v>422.85</c:v>
                </c:pt>
                <c:pt idx="14">
                  <c:v>432.2</c:v>
                </c:pt>
                <c:pt idx="15">
                  <c:v>434.3</c:v>
                </c:pt>
                <c:pt idx="16">
                  <c:v>433.35</c:v>
                </c:pt>
                <c:pt idx="17">
                  <c:v>421.2</c:v>
                </c:pt>
                <c:pt idx="18">
                  <c:v>415.1</c:v>
                </c:pt>
                <c:pt idx="19">
                  <c:v>414</c:v>
                </c:pt>
                <c:pt idx="20">
                  <c:v>422.6</c:v>
                </c:pt>
                <c:pt idx="21">
                  <c:v>429</c:v>
                </c:pt>
                <c:pt idx="22">
                  <c:v>421.8</c:v>
                </c:pt>
                <c:pt idx="23">
                  <c:v>409.15</c:v>
                </c:pt>
                <c:pt idx="24">
                  <c:v>419</c:v>
                </c:pt>
                <c:pt idx="25">
                  <c:v>417</c:v>
                </c:pt>
                <c:pt idx="26">
                  <c:v>417.9</c:v>
                </c:pt>
                <c:pt idx="27">
                  <c:v>421.45</c:v>
                </c:pt>
                <c:pt idx="28">
                  <c:v>417.15</c:v>
                </c:pt>
                <c:pt idx="29">
                  <c:v>424.45</c:v>
                </c:pt>
                <c:pt idx="30">
                  <c:v>411.65</c:v>
                </c:pt>
                <c:pt idx="31">
                  <c:v>405</c:v>
                </c:pt>
                <c:pt idx="32">
                  <c:v>406.5</c:v>
                </c:pt>
                <c:pt idx="33">
                  <c:v>403</c:v>
                </c:pt>
                <c:pt idx="34">
                  <c:v>407</c:v>
                </c:pt>
                <c:pt idx="35">
                  <c:v>423.55</c:v>
                </c:pt>
                <c:pt idx="36">
                  <c:v>418.55</c:v>
                </c:pt>
                <c:pt idx="37">
                  <c:v>428.3</c:v>
                </c:pt>
                <c:pt idx="38">
                  <c:v>422.2</c:v>
                </c:pt>
                <c:pt idx="39">
                  <c:v>416.65</c:v>
                </c:pt>
                <c:pt idx="40">
                  <c:v>411.65</c:v>
                </c:pt>
                <c:pt idx="41">
                  <c:v>415</c:v>
                </c:pt>
                <c:pt idx="42">
                  <c:v>422.2</c:v>
                </c:pt>
                <c:pt idx="43">
                  <c:v>437.8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3B-483A-BB1C-19C6AE9AE98D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'7'!$A$2:$A$45</c:f>
              <c:numCache>
                <c:formatCode>[$-419]mmmm\ yyyy;@</c:formatCode>
                <c:ptCount val="44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</c:numCache>
            </c:numRef>
          </c:cat>
          <c:val>
            <c:numRef>
              <c:f>'7'!$C$2:$C$45</c:f>
              <c:numCache>
                <c:formatCode>General</c:formatCode>
                <c:ptCount val="44"/>
                <c:pt idx="0">
                  <c:v>435.3</c:v>
                </c:pt>
                <c:pt idx="1">
                  <c:v>434.05</c:v>
                </c:pt>
                <c:pt idx="2">
                  <c:v>424.8</c:v>
                </c:pt>
                <c:pt idx="3">
                  <c:v>418.6</c:v>
                </c:pt>
                <c:pt idx="4">
                  <c:v>429.75</c:v>
                </c:pt>
                <c:pt idx="5">
                  <c:v>418.75</c:v>
                </c:pt>
                <c:pt idx="6">
                  <c:v>408.35</c:v>
                </c:pt>
                <c:pt idx="7">
                  <c:v>404.15</c:v>
                </c:pt>
                <c:pt idx="8">
                  <c:v>403</c:v>
                </c:pt>
                <c:pt idx="9">
                  <c:v>407.8</c:v>
                </c:pt>
                <c:pt idx="10">
                  <c:v>410.7</c:v>
                </c:pt>
                <c:pt idx="11">
                  <c:v>412.9</c:v>
                </c:pt>
                <c:pt idx="12">
                  <c:v>425.75</c:v>
                </c:pt>
                <c:pt idx="13">
                  <c:v>437.25</c:v>
                </c:pt>
                <c:pt idx="14">
                  <c:v>441</c:v>
                </c:pt>
                <c:pt idx="15">
                  <c:v>449</c:v>
                </c:pt>
                <c:pt idx="16">
                  <c:v>435.75</c:v>
                </c:pt>
                <c:pt idx="17">
                  <c:v>427.25</c:v>
                </c:pt>
                <c:pt idx="18">
                  <c:v>423.05</c:v>
                </c:pt>
                <c:pt idx="19">
                  <c:v>427.85</c:v>
                </c:pt>
                <c:pt idx="20">
                  <c:v>440.95</c:v>
                </c:pt>
                <c:pt idx="21">
                  <c:v>445.05</c:v>
                </c:pt>
                <c:pt idx="22">
                  <c:v>425.6</c:v>
                </c:pt>
                <c:pt idx="23">
                  <c:v>420</c:v>
                </c:pt>
                <c:pt idx="24">
                  <c:v>420.75</c:v>
                </c:pt>
                <c:pt idx="25">
                  <c:v>424.55</c:v>
                </c:pt>
                <c:pt idx="26">
                  <c:v>425.9</c:v>
                </c:pt>
                <c:pt idx="27">
                  <c:v>422.3</c:v>
                </c:pt>
                <c:pt idx="28">
                  <c:v>431.15</c:v>
                </c:pt>
                <c:pt idx="29">
                  <c:v>425.5</c:v>
                </c:pt>
                <c:pt idx="30">
                  <c:v>413.85</c:v>
                </c:pt>
                <c:pt idx="31">
                  <c:v>408.45</c:v>
                </c:pt>
                <c:pt idx="32">
                  <c:v>416.05</c:v>
                </c:pt>
                <c:pt idx="33">
                  <c:v>409.35</c:v>
                </c:pt>
                <c:pt idx="34">
                  <c:v>422.9</c:v>
                </c:pt>
                <c:pt idx="35">
                  <c:v>424.45</c:v>
                </c:pt>
                <c:pt idx="36">
                  <c:v>440.9</c:v>
                </c:pt>
                <c:pt idx="37">
                  <c:v>431.5</c:v>
                </c:pt>
                <c:pt idx="38">
                  <c:v>423.25</c:v>
                </c:pt>
                <c:pt idx="39">
                  <c:v>422.9</c:v>
                </c:pt>
                <c:pt idx="40">
                  <c:v>418.6</c:v>
                </c:pt>
                <c:pt idx="41">
                  <c:v>422.5</c:v>
                </c:pt>
                <c:pt idx="42">
                  <c:v>435.5</c:v>
                </c:pt>
                <c:pt idx="43">
                  <c:v>453.45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3B-483A-BB1C-19C6AE9AE98D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'7'!$A$2:$A$45</c:f>
              <c:numCache>
                <c:formatCode>[$-419]mmmm\ yyyy;@</c:formatCode>
                <c:ptCount val="44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</c:numCache>
            </c:numRef>
          </c:cat>
          <c:val>
            <c:numRef>
              <c:f>'7'!$D$2:$D$45</c:f>
              <c:numCache>
                <c:formatCode>General</c:formatCode>
                <c:ptCount val="44"/>
                <c:pt idx="0">
                  <c:v>420.65</c:v>
                </c:pt>
                <c:pt idx="1">
                  <c:v>414.2</c:v>
                </c:pt>
                <c:pt idx="2">
                  <c:v>404.6</c:v>
                </c:pt>
                <c:pt idx="3">
                  <c:v>406.3</c:v>
                </c:pt>
                <c:pt idx="4">
                  <c:v>408.5</c:v>
                </c:pt>
                <c:pt idx="5">
                  <c:v>390.75</c:v>
                </c:pt>
                <c:pt idx="6">
                  <c:v>394.4</c:v>
                </c:pt>
                <c:pt idx="7">
                  <c:v>392.7</c:v>
                </c:pt>
                <c:pt idx="8">
                  <c:v>394.55</c:v>
                </c:pt>
                <c:pt idx="9">
                  <c:v>395</c:v>
                </c:pt>
                <c:pt idx="10">
                  <c:v>396.2</c:v>
                </c:pt>
                <c:pt idx="11">
                  <c:v>400</c:v>
                </c:pt>
                <c:pt idx="12">
                  <c:v>411.9</c:v>
                </c:pt>
                <c:pt idx="13">
                  <c:v>413.6</c:v>
                </c:pt>
                <c:pt idx="14">
                  <c:v>426.4</c:v>
                </c:pt>
                <c:pt idx="15">
                  <c:v>428.05</c:v>
                </c:pt>
                <c:pt idx="16">
                  <c:v>421.8</c:v>
                </c:pt>
                <c:pt idx="17">
                  <c:v>413.55</c:v>
                </c:pt>
                <c:pt idx="18">
                  <c:v>410.6</c:v>
                </c:pt>
                <c:pt idx="19">
                  <c:v>408</c:v>
                </c:pt>
                <c:pt idx="20">
                  <c:v>422.3</c:v>
                </c:pt>
                <c:pt idx="21">
                  <c:v>419.3</c:v>
                </c:pt>
                <c:pt idx="22">
                  <c:v>408</c:v>
                </c:pt>
                <c:pt idx="23">
                  <c:v>407.1</c:v>
                </c:pt>
                <c:pt idx="24">
                  <c:v>410.4</c:v>
                </c:pt>
                <c:pt idx="25">
                  <c:v>414.75</c:v>
                </c:pt>
                <c:pt idx="26">
                  <c:v>415.05</c:v>
                </c:pt>
                <c:pt idx="27">
                  <c:v>416.5</c:v>
                </c:pt>
                <c:pt idx="28">
                  <c:v>415.25</c:v>
                </c:pt>
                <c:pt idx="29">
                  <c:v>411.75</c:v>
                </c:pt>
                <c:pt idx="30">
                  <c:v>404.3</c:v>
                </c:pt>
                <c:pt idx="31">
                  <c:v>397.7</c:v>
                </c:pt>
                <c:pt idx="32">
                  <c:v>402.3</c:v>
                </c:pt>
                <c:pt idx="33">
                  <c:v>402.95</c:v>
                </c:pt>
                <c:pt idx="34">
                  <c:v>406</c:v>
                </c:pt>
                <c:pt idx="35">
                  <c:v>408.85</c:v>
                </c:pt>
                <c:pt idx="36">
                  <c:v>415.05</c:v>
                </c:pt>
                <c:pt idx="37">
                  <c:v>421.85</c:v>
                </c:pt>
                <c:pt idx="38">
                  <c:v>410.7</c:v>
                </c:pt>
                <c:pt idx="39">
                  <c:v>407.05</c:v>
                </c:pt>
                <c:pt idx="40">
                  <c:v>410.25</c:v>
                </c:pt>
                <c:pt idx="41">
                  <c:v>411.5</c:v>
                </c:pt>
                <c:pt idx="42">
                  <c:v>419.1</c:v>
                </c:pt>
                <c:pt idx="43">
                  <c:v>434.45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3B-483A-BB1C-19C6AE9AE98D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'7'!$A$2:$A$45</c:f>
              <c:numCache>
                <c:formatCode>[$-419]mmmm\ yyyy;@</c:formatCode>
                <c:ptCount val="44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</c:numCache>
            </c:numRef>
          </c:cat>
          <c:val>
            <c:numRef>
              <c:f>'7'!$E$2:$E$45</c:f>
              <c:numCache>
                <c:formatCode>General</c:formatCode>
                <c:ptCount val="44"/>
                <c:pt idx="0">
                  <c:v>434.6</c:v>
                </c:pt>
                <c:pt idx="1">
                  <c:v>419.7</c:v>
                </c:pt>
                <c:pt idx="2">
                  <c:v>414</c:v>
                </c:pt>
                <c:pt idx="3">
                  <c:v>411.95</c:v>
                </c:pt>
                <c:pt idx="4">
                  <c:v>411.6</c:v>
                </c:pt>
                <c:pt idx="5">
                  <c:v>403.5</c:v>
                </c:pt>
                <c:pt idx="6">
                  <c:v>401.5</c:v>
                </c:pt>
                <c:pt idx="7">
                  <c:v>398.25</c:v>
                </c:pt>
                <c:pt idx="8">
                  <c:v>402</c:v>
                </c:pt>
                <c:pt idx="9">
                  <c:v>401.25</c:v>
                </c:pt>
                <c:pt idx="10">
                  <c:v>408.4</c:v>
                </c:pt>
                <c:pt idx="11">
                  <c:v>412</c:v>
                </c:pt>
                <c:pt idx="12">
                  <c:v>421.5</c:v>
                </c:pt>
                <c:pt idx="13">
                  <c:v>432.5</c:v>
                </c:pt>
                <c:pt idx="14">
                  <c:v>432</c:v>
                </c:pt>
                <c:pt idx="15">
                  <c:v>434.45</c:v>
                </c:pt>
                <c:pt idx="16">
                  <c:v>423.55</c:v>
                </c:pt>
                <c:pt idx="17">
                  <c:v>413.75</c:v>
                </c:pt>
                <c:pt idx="18">
                  <c:v>413</c:v>
                </c:pt>
                <c:pt idx="19">
                  <c:v>423</c:v>
                </c:pt>
                <c:pt idx="20">
                  <c:v>433</c:v>
                </c:pt>
                <c:pt idx="21">
                  <c:v>419.55</c:v>
                </c:pt>
                <c:pt idx="22">
                  <c:v>408</c:v>
                </c:pt>
                <c:pt idx="23">
                  <c:v>419.1</c:v>
                </c:pt>
                <c:pt idx="24">
                  <c:v>414.5</c:v>
                </c:pt>
                <c:pt idx="25">
                  <c:v>418.65</c:v>
                </c:pt>
                <c:pt idx="26">
                  <c:v>419.25</c:v>
                </c:pt>
                <c:pt idx="27">
                  <c:v>420.45</c:v>
                </c:pt>
                <c:pt idx="28">
                  <c:v>423.5</c:v>
                </c:pt>
                <c:pt idx="29">
                  <c:v>411.75</c:v>
                </c:pt>
                <c:pt idx="30">
                  <c:v>404.6</c:v>
                </c:pt>
                <c:pt idx="31">
                  <c:v>404.75</c:v>
                </c:pt>
                <c:pt idx="32">
                  <c:v>405.6</c:v>
                </c:pt>
                <c:pt idx="33">
                  <c:v>406.95</c:v>
                </c:pt>
                <c:pt idx="34">
                  <c:v>422.9</c:v>
                </c:pt>
                <c:pt idx="35">
                  <c:v>410.05</c:v>
                </c:pt>
                <c:pt idx="36">
                  <c:v>428.3</c:v>
                </c:pt>
                <c:pt idx="37">
                  <c:v>422.5</c:v>
                </c:pt>
                <c:pt idx="38">
                  <c:v>415</c:v>
                </c:pt>
                <c:pt idx="39">
                  <c:v>411.65</c:v>
                </c:pt>
                <c:pt idx="40">
                  <c:v>415</c:v>
                </c:pt>
                <c:pt idx="41">
                  <c:v>421.35</c:v>
                </c:pt>
                <c:pt idx="42">
                  <c:v>434.4</c:v>
                </c:pt>
                <c:pt idx="43">
                  <c:v>449.6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3B-483A-BB1C-19C6AE9AE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527620088"/>
        <c:axId val="527620416"/>
      </c:stockChart>
      <c:dateAx>
        <c:axId val="527620088"/>
        <c:scaling>
          <c:orientation val="minMax"/>
        </c:scaling>
        <c:delete val="0"/>
        <c:axPos val="b"/>
        <c:numFmt formatCode="[$-419]mmmm\ 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620416"/>
        <c:crosses val="autoZero"/>
        <c:auto val="1"/>
        <c:lblOffset val="100"/>
        <c:baseTimeUnit val="days"/>
      </c:dateAx>
      <c:valAx>
        <c:axId val="52762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620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74748</xdr:colOff>
      <xdr:row>5</xdr:row>
      <xdr:rowOff>8665</xdr:rowOff>
    </xdr:from>
    <xdr:to>
      <xdr:col>19</xdr:col>
      <xdr:colOff>74748</xdr:colOff>
      <xdr:row>25</xdr:row>
      <xdr:rowOff>40812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2</xdr:row>
      <xdr:rowOff>180975</xdr:rowOff>
    </xdr:from>
    <xdr:to>
      <xdr:col>14</xdr:col>
      <xdr:colOff>314325</xdr:colOff>
      <xdr:row>17</xdr:row>
      <xdr:rowOff>66675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577849</xdr:colOff>
      <xdr:row>4</xdr:row>
      <xdr:rowOff>187324</xdr:rowOff>
    </xdr:from>
    <xdr:to>
      <xdr:col>20</xdr:col>
      <xdr:colOff>301625</xdr:colOff>
      <xdr:row>24</xdr:row>
      <xdr:rowOff>6349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587374</xdr:colOff>
      <xdr:row>25</xdr:row>
      <xdr:rowOff>15875</xdr:rowOff>
    </xdr:from>
    <xdr:to>
      <xdr:col>20</xdr:col>
      <xdr:colOff>282574</xdr:colOff>
      <xdr:row>44</xdr:row>
      <xdr:rowOff>187325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209550</xdr:colOff>
      <xdr:row>46</xdr:row>
      <xdr:rowOff>123825</xdr:rowOff>
    </xdr:from>
    <xdr:to>
      <xdr:col>22</xdr:col>
      <xdr:colOff>485775</xdr:colOff>
      <xdr:row>68</xdr:row>
      <xdr:rowOff>85725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zoomScale="80" zoomScaleNormal="80" workbookViewId="0">
      <selection sqref="A1:L1"/>
    </sheetView>
  </sheetViews>
  <sheetFormatPr defaultRowHeight="15" x14ac:dyDescent="0.25"/>
  <sheetData>
    <row r="1" spans="1:12" ht="18.75" x14ac:dyDescent="0.3">
      <c r="A1" s="19" t="s">
        <v>22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8.75" x14ac:dyDescent="0.3">
      <c r="A2" s="19" t="s">
        <v>23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18.75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18.75" x14ac:dyDescent="0.3">
      <c r="A4" s="18" t="s">
        <v>24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12" ht="18.75" x14ac:dyDescent="0.3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1:12" ht="18.75" x14ac:dyDescent="0.3">
      <c r="A6" s="19" t="s">
        <v>36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1:12" ht="18.75" x14ac:dyDescent="0.3">
      <c r="A7" s="19" t="s">
        <v>25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2" ht="18.75" x14ac:dyDescent="0.3">
      <c r="A8" s="19" t="s">
        <v>26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2" ht="18.75" x14ac:dyDescent="0.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</row>
    <row r="10" spans="1:12" ht="18.75" x14ac:dyDescent="0.3">
      <c r="A10" s="19" t="s">
        <v>27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</row>
    <row r="11" spans="1:12" ht="18.75" x14ac:dyDescent="0.3">
      <c r="A11" s="19" t="s">
        <v>37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</row>
    <row r="12" spans="1:12" ht="18.75" x14ac:dyDescent="0.3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12" ht="18.75" x14ac:dyDescent="0.3">
      <c r="A13" s="19" t="s">
        <v>28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  <row r="14" spans="1:12" ht="18.75" x14ac:dyDescent="0.3">
      <c r="A14" s="18" t="s">
        <v>29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spans="1:12" ht="18.75" x14ac:dyDescent="0.3">
      <c r="A15" s="18" t="s">
        <v>30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18.75" x14ac:dyDescent="0.3">
      <c r="A16" s="18" t="s">
        <v>31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1:12" ht="18.75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</row>
    <row r="18" spans="1:12" ht="18.75" x14ac:dyDescent="0.3">
      <c r="A18" s="18" t="s">
        <v>32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x14ac:dyDescent="0.3">
      <c r="A19" s="18" t="s">
        <v>33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</row>
    <row r="20" spans="1:12" ht="18.75" x14ac:dyDescent="0.3">
      <c r="A20" s="18" t="s">
        <v>34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spans="1:12" ht="18.75" x14ac:dyDescent="0.3">
      <c r="A21" s="19" t="s">
        <v>35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1:12" ht="18.75" x14ac:dyDescent="0.3">
      <c r="A22" s="19">
        <v>2019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</sheetData>
  <mergeCells count="22">
    <mergeCell ref="A12:L12"/>
    <mergeCell ref="A1:L1"/>
    <mergeCell ref="A2:L2"/>
    <mergeCell ref="A3:L3"/>
    <mergeCell ref="A4:L4"/>
    <mergeCell ref="A5:L5"/>
    <mergeCell ref="A6:L6"/>
    <mergeCell ref="A7:L7"/>
    <mergeCell ref="A8:L8"/>
    <mergeCell ref="A9:L9"/>
    <mergeCell ref="A10:L10"/>
    <mergeCell ref="A11:L11"/>
    <mergeCell ref="A19:L19"/>
    <mergeCell ref="A20:L20"/>
    <mergeCell ref="A21:L21"/>
    <mergeCell ref="A22:L22"/>
    <mergeCell ref="A13:L13"/>
    <mergeCell ref="A14:L14"/>
    <mergeCell ref="A15:L15"/>
    <mergeCell ref="A16:L16"/>
    <mergeCell ref="A17:L17"/>
    <mergeCell ref="A18:L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A7" sqref="A7"/>
    </sheetView>
  </sheetViews>
  <sheetFormatPr defaultRowHeight="15" x14ac:dyDescent="0.25"/>
  <cols>
    <col min="1" max="1" width="30.7109375" customWidth="1"/>
  </cols>
  <sheetData>
    <row r="1" spans="1:1" x14ac:dyDescent="0.25">
      <c r="A1" t="s">
        <v>38</v>
      </c>
    </row>
    <row r="2" spans="1:1" x14ac:dyDescent="0.25">
      <c r="A2" s="8" t="s">
        <v>39</v>
      </c>
    </row>
    <row r="3" spans="1:1" x14ac:dyDescent="0.25">
      <c r="A3" s="8" t="s">
        <v>40</v>
      </c>
    </row>
    <row r="4" spans="1:1" x14ac:dyDescent="0.25">
      <c r="A4" s="8" t="s">
        <v>41</v>
      </c>
    </row>
    <row r="5" spans="1:1" x14ac:dyDescent="0.25">
      <c r="A5" s="8" t="s">
        <v>42</v>
      </c>
    </row>
    <row r="6" spans="1:1" x14ac:dyDescent="0.25">
      <c r="A6" s="8" t="s">
        <v>43</v>
      </c>
    </row>
    <row r="7" spans="1:1" x14ac:dyDescent="0.25">
      <c r="A7" s="8" t="s">
        <v>44</v>
      </c>
    </row>
    <row r="8" spans="1:1" x14ac:dyDescent="0.25">
      <c r="A8" s="8" t="s">
        <v>45</v>
      </c>
    </row>
  </sheetData>
  <hyperlinks>
    <hyperlink ref="A2" location="'1'!A1" display="1. Титульный лист"/>
    <hyperlink ref="A3" location="'2'!A1" display="2. Оглавление"/>
    <hyperlink ref="A4" location="'3'!A1" display="3. Задание"/>
    <hyperlink ref="A5" location="'4'!A1" display="4. Вариант задания"/>
    <hyperlink ref="A6" location="'5'!A1" display="5. Аддитивная модель"/>
    <hyperlink ref="A7" location="'6'!A1" display="6. Мультипликативная модель"/>
    <hyperlink ref="A8" location="'7'!A1" display="7. Роснефть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M10" sqref="M9:M10"/>
    </sheetView>
  </sheetViews>
  <sheetFormatPr defaultRowHeight="15" x14ac:dyDescent="0.25"/>
  <sheetData>
    <row r="1" spans="1:10" x14ac:dyDescent="0.25">
      <c r="A1" s="20" t="s">
        <v>46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x14ac:dyDescent="0.25">
      <c r="A2" s="22" t="s">
        <v>47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x14ac:dyDescent="0.25">
      <c r="A3" s="20" t="s">
        <v>48</v>
      </c>
      <c r="B3" s="20"/>
      <c r="C3" s="20"/>
      <c r="D3" s="20"/>
      <c r="E3" s="20"/>
      <c r="F3" s="20"/>
      <c r="G3" s="20"/>
      <c r="H3" s="20"/>
      <c r="I3" s="20"/>
      <c r="J3" s="20"/>
    </row>
    <row r="4" spans="1:10" x14ac:dyDescent="0.25">
      <c r="A4" s="20" t="s">
        <v>49</v>
      </c>
      <c r="B4" s="20"/>
      <c r="C4" s="20"/>
      <c r="D4" s="20"/>
      <c r="E4" s="20"/>
      <c r="F4" s="20"/>
      <c r="G4" s="20"/>
      <c r="H4" s="20"/>
      <c r="I4" s="20"/>
      <c r="J4" s="20"/>
    </row>
    <row r="5" spans="1:10" x14ac:dyDescent="0.25">
      <c r="A5" s="20" t="s">
        <v>50</v>
      </c>
      <c r="B5" s="20"/>
      <c r="C5" s="20"/>
      <c r="D5" s="20"/>
      <c r="E5" s="20"/>
      <c r="F5" s="20"/>
      <c r="G5" s="20"/>
      <c r="H5" s="20"/>
      <c r="I5" s="20"/>
      <c r="J5" s="20"/>
    </row>
    <row r="6" spans="1:10" x14ac:dyDescent="0.25">
      <c r="A6" s="21" t="s">
        <v>51</v>
      </c>
      <c r="B6" s="21"/>
      <c r="C6" s="21"/>
      <c r="D6" s="21"/>
      <c r="E6" s="21"/>
      <c r="F6" s="21"/>
      <c r="G6" s="21"/>
      <c r="H6" s="21"/>
      <c r="I6" s="21"/>
      <c r="J6" s="21"/>
    </row>
    <row r="7" spans="1:10" x14ac:dyDescent="0.25">
      <c r="A7" s="9"/>
      <c r="B7" s="9"/>
      <c r="C7" s="9"/>
      <c r="D7" s="9"/>
      <c r="E7" s="9"/>
      <c r="F7" s="9"/>
      <c r="G7" s="9"/>
      <c r="H7" s="9"/>
      <c r="I7" s="9"/>
      <c r="J7" s="9"/>
    </row>
    <row r="8" spans="1:10" x14ac:dyDescent="0.25">
      <c r="A8" s="9"/>
      <c r="B8" s="9"/>
      <c r="C8" s="9"/>
      <c r="D8" s="9"/>
      <c r="E8" s="9"/>
      <c r="F8" s="9"/>
      <c r="G8" s="9"/>
      <c r="H8" s="9"/>
      <c r="I8" s="9"/>
      <c r="J8" s="9"/>
    </row>
    <row r="9" spans="1:10" x14ac:dyDescent="0.25">
      <c r="A9" s="9"/>
      <c r="B9" s="9"/>
      <c r="C9" s="9"/>
      <c r="D9" s="9"/>
      <c r="E9" s="9"/>
      <c r="F9" s="9"/>
      <c r="G9" s="9"/>
      <c r="H9" s="9"/>
      <c r="I9" s="9"/>
      <c r="J9" s="9"/>
    </row>
    <row r="10" spans="1:10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</row>
  </sheetData>
  <mergeCells count="6">
    <mergeCell ref="A5:J5"/>
    <mergeCell ref="A6:J6"/>
    <mergeCell ref="A1:J1"/>
    <mergeCell ref="A2:J2"/>
    <mergeCell ref="A3:J3"/>
    <mergeCell ref="A4:J4"/>
  </mergeCells>
  <hyperlinks>
    <hyperlink ref="A6:J6" location="'2'!A1" display="Вернуться к оглавлению.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70" zoomScaleNormal="70" workbookViewId="0">
      <selection activeCell="D14" sqref="D14:F14"/>
    </sheetView>
  </sheetViews>
  <sheetFormatPr defaultRowHeight="15" x14ac:dyDescent="0.25"/>
  <cols>
    <col min="1" max="1" width="12" customWidth="1"/>
    <col min="10" max="10" width="11.85546875" customWidth="1"/>
    <col min="11" max="11" width="16.28515625" customWidth="1"/>
    <col min="12" max="12" width="22" customWidth="1"/>
  </cols>
  <sheetData>
    <row r="1" spans="1:12" x14ac:dyDescent="0.25">
      <c r="A1" s="20" t="s">
        <v>52</v>
      </c>
      <c r="B1" s="20"/>
      <c r="C1" s="20"/>
      <c r="D1" s="20"/>
      <c r="E1" s="20"/>
      <c r="F1" s="20"/>
      <c r="G1" s="20"/>
      <c r="H1" s="20"/>
    </row>
    <row r="3" spans="1:12" x14ac:dyDescent="0.25">
      <c r="A3" s="11" t="s">
        <v>53</v>
      </c>
      <c r="B3" s="11" t="s">
        <v>5</v>
      </c>
      <c r="C3" s="11" t="s">
        <v>6</v>
      </c>
      <c r="D3" s="11" t="s">
        <v>7</v>
      </c>
      <c r="E3" s="11" t="s">
        <v>8</v>
      </c>
      <c r="F3" s="11" t="s">
        <v>9</v>
      </c>
      <c r="G3" s="11" t="s">
        <v>10</v>
      </c>
      <c r="H3" s="11" t="s">
        <v>11</v>
      </c>
      <c r="J3" s="1" t="s">
        <v>53</v>
      </c>
      <c r="K3" s="1" t="s">
        <v>54</v>
      </c>
      <c r="L3" s="1" t="s">
        <v>55</v>
      </c>
    </row>
    <row r="4" spans="1:12" x14ac:dyDescent="0.25">
      <c r="A4" s="11">
        <v>6</v>
      </c>
      <c r="B4" s="11">
        <v>110</v>
      </c>
      <c r="C4" s="11">
        <v>7</v>
      </c>
      <c r="D4" s="11">
        <v>0.5</v>
      </c>
      <c r="E4" s="11">
        <v>4</v>
      </c>
      <c r="F4" s="11">
        <v>0.8</v>
      </c>
      <c r="G4" s="11">
        <v>0.2</v>
      </c>
      <c r="H4" s="11">
        <v>0.05</v>
      </c>
      <c r="J4" s="12">
        <v>6</v>
      </c>
      <c r="K4" s="1" t="s">
        <v>56</v>
      </c>
      <c r="L4" s="1" t="s">
        <v>57</v>
      </c>
    </row>
    <row r="7" spans="1:12" x14ac:dyDescent="0.25">
      <c r="A7" s="24" t="s">
        <v>58</v>
      </c>
      <c r="B7" s="24"/>
      <c r="C7" s="24"/>
      <c r="D7" s="24"/>
      <c r="H7" s="27" t="s">
        <v>59</v>
      </c>
      <c r="I7" s="27"/>
      <c r="J7" s="27"/>
      <c r="K7" s="27"/>
    </row>
    <row r="8" spans="1:12" x14ac:dyDescent="0.25">
      <c r="A8" s="25" t="s">
        <v>60</v>
      </c>
      <c r="B8" s="25"/>
      <c r="C8" s="25"/>
      <c r="D8" s="25"/>
      <c r="E8" s="26" t="s">
        <v>61</v>
      </c>
      <c r="F8" s="26"/>
      <c r="G8" s="26"/>
      <c r="H8" s="28" t="s">
        <v>60</v>
      </c>
      <c r="I8" s="28"/>
      <c r="J8" s="28"/>
      <c r="K8" s="28"/>
    </row>
    <row r="9" spans="1:12" x14ac:dyDescent="0.25">
      <c r="A9" s="25" t="s">
        <v>62</v>
      </c>
      <c r="B9" s="25"/>
      <c r="C9" s="25"/>
      <c r="D9" s="25"/>
      <c r="E9" s="26" t="s">
        <v>63</v>
      </c>
      <c r="F9" s="26"/>
      <c r="G9" s="26"/>
      <c r="H9" s="28" t="s">
        <v>64</v>
      </c>
      <c r="I9" s="28"/>
      <c r="J9" s="28"/>
      <c r="K9" s="28"/>
    </row>
    <row r="10" spans="1:12" x14ac:dyDescent="0.25">
      <c r="A10" s="25" t="s">
        <v>65</v>
      </c>
      <c r="B10" s="25"/>
      <c r="C10" s="25"/>
      <c r="D10" s="25"/>
      <c r="E10" s="26" t="s">
        <v>66</v>
      </c>
      <c r="F10" s="26"/>
      <c r="G10" s="26"/>
      <c r="H10" s="28" t="s">
        <v>67</v>
      </c>
      <c r="I10" s="28"/>
      <c r="J10" s="28"/>
      <c r="K10" s="28"/>
    </row>
    <row r="11" spans="1:12" ht="18" x14ac:dyDescent="0.35">
      <c r="A11" s="25" t="s">
        <v>68</v>
      </c>
      <c r="B11" s="25"/>
      <c r="C11" s="25"/>
      <c r="D11" s="25"/>
      <c r="E11" s="26" t="s">
        <v>69</v>
      </c>
      <c r="F11" s="26"/>
      <c r="G11" s="26"/>
      <c r="H11" s="28" t="s">
        <v>70</v>
      </c>
      <c r="I11" s="28"/>
      <c r="J11" s="28"/>
      <c r="K11" s="28"/>
    </row>
    <row r="14" spans="1:12" x14ac:dyDescent="0.25">
      <c r="D14" s="23" t="s">
        <v>51</v>
      </c>
      <c r="E14" s="23"/>
      <c r="F14" s="23"/>
    </row>
  </sheetData>
  <mergeCells count="15">
    <mergeCell ref="A7:D7"/>
    <mergeCell ref="A8:D8"/>
    <mergeCell ref="E8:G8"/>
    <mergeCell ref="H8:K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:H1"/>
    <mergeCell ref="D14:F14"/>
  </mergeCells>
  <hyperlinks>
    <hyperlink ref="D14" location="'2'!A1" display="Вернуться к оглавлению.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6"/>
  <sheetViews>
    <sheetView zoomScale="85" zoomScaleNormal="85" workbookViewId="0">
      <selection activeCell="U22" sqref="U22"/>
    </sheetView>
  </sheetViews>
  <sheetFormatPr defaultRowHeight="15" x14ac:dyDescent="0.25"/>
  <sheetData>
    <row r="1" spans="1:12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9" t="s">
        <v>74</v>
      </c>
    </row>
    <row r="2" spans="1:12" x14ac:dyDescent="0.25">
      <c r="A2" s="1">
        <v>110</v>
      </c>
      <c r="B2" s="1">
        <v>7</v>
      </c>
      <c r="C2" s="1">
        <v>0.5</v>
      </c>
      <c r="D2" s="1">
        <v>4</v>
      </c>
      <c r="E2" s="1">
        <v>0.8</v>
      </c>
      <c r="F2" s="1">
        <v>0.2</v>
      </c>
      <c r="G2" s="1">
        <v>0.05</v>
      </c>
      <c r="H2" s="30">
        <f>2/(A2+1)</f>
        <v>1.8018018018018018E-2</v>
      </c>
      <c r="J2" s="23" t="s">
        <v>51</v>
      </c>
      <c r="K2" s="23"/>
      <c r="L2" s="23"/>
    </row>
    <row r="6" spans="1:12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12</v>
      </c>
      <c r="G6" s="2" t="s">
        <v>73</v>
      </c>
      <c r="H6" s="2" t="s">
        <v>72</v>
      </c>
      <c r="I6" s="2" t="s">
        <v>71</v>
      </c>
      <c r="J6" s="2" t="s">
        <v>75</v>
      </c>
    </row>
    <row r="7" spans="1:12" x14ac:dyDescent="0.25">
      <c r="A7" s="1">
        <v>1</v>
      </c>
      <c r="B7" s="1">
        <f t="shared" ref="B7:B38" si="0">$B$2 + $C$2*A7</f>
        <v>7.5</v>
      </c>
      <c r="C7" s="1">
        <f>$D$2* SIN(0.5236*A7)</f>
        <v>2.0000042414504113</v>
      </c>
      <c r="D7" s="1">
        <f>$E$2 * F7</f>
        <v>-0.67280780058354139</v>
      </c>
      <c r="E7" s="1">
        <f>B7+C7+D7</f>
        <v>8.8271964408668708</v>
      </c>
      <c r="F7" s="1">
        <v>-0.84100975072942674</v>
      </c>
      <c r="G7" s="1"/>
      <c r="H7" s="1"/>
      <c r="I7" s="1">
        <f>E7</f>
        <v>8.8271964408668708</v>
      </c>
      <c r="J7" s="1"/>
    </row>
    <row r="8" spans="1:12" x14ac:dyDescent="0.25">
      <c r="A8" s="1">
        <v>2</v>
      </c>
      <c r="B8" s="1">
        <f t="shared" si="0"/>
        <v>8</v>
      </c>
      <c r="C8" s="1">
        <f t="shared" ref="C8:C71" si="1">$D$2* SIN(0.5236*A8)</f>
        <v>3.4641065127341726</v>
      </c>
      <c r="D8" s="1">
        <f t="shared" ref="D8:D71" si="2">$E$2 * F8</f>
        <v>-0.46104287321213633</v>
      </c>
      <c r="E8" s="1">
        <f t="shared" ref="E8:E71" si="3">B8+C8+D8</f>
        <v>11.003063639522036</v>
      </c>
      <c r="F8" s="1">
        <v>-0.57630359151517041</v>
      </c>
      <c r="G8" s="1">
        <f>AVERAGE(E7:E9)</f>
        <v>10.677673007309499</v>
      </c>
      <c r="H8" s="1"/>
      <c r="I8" s="1">
        <f>$H$2*E8+(1-$H$2)*I7</f>
        <v>8.8664012552570544</v>
      </c>
      <c r="J8" s="1">
        <f>MEDIAN(E7:E9)</f>
        <v>11.003063639522036</v>
      </c>
    </row>
    <row r="9" spans="1:12" x14ac:dyDescent="0.25">
      <c r="A9" s="1">
        <v>3</v>
      </c>
      <c r="B9" s="1">
        <f t="shared" si="0"/>
        <v>8.5</v>
      </c>
      <c r="C9" s="1">
        <f t="shared" si="1"/>
        <v>3.9999999999730149</v>
      </c>
      <c r="D9" s="1">
        <f t="shared" si="2"/>
        <v>-0.29724105843342841</v>
      </c>
      <c r="E9" s="1">
        <f t="shared" si="3"/>
        <v>12.202758941539587</v>
      </c>
      <c r="F9" s="1">
        <v>-0.37155132304178551</v>
      </c>
      <c r="G9" s="1">
        <f>AVERAGE(E8:E10)</f>
        <v>11.943417013636392</v>
      </c>
      <c r="H9" s="1">
        <f>(1*E7+4*E8+6*E9+4*E10+1*E11)/16</f>
        <v>11.811507352259815</v>
      </c>
      <c r="I9" s="1">
        <f t="shared" ref="I9:I72" si="4">$H$2*E9+(1-$H$2)*I8</f>
        <v>8.926515808163046</v>
      </c>
      <c r="J9" s="1">
        <f>MEDIAN(E8:E10)</f>
        <v>12.202758941539587</v>
      </c>
    </row>
    <row r="10" spans="1:12" x14ac:dyDescent="0.25">
      <c r="A10" s="1">
        <v>4</v>
      </c>
      <c r="B10" s="1">
        <f t="shared" si="0"/>
        <v>9</v>
      </c>
      <c r="C10" s="1">
        <f t="shared" si="1"/>
        <v>3.4640918198825998</v>
      </c>
      <c r="D10" s="1">
        <f t="shared" si="2"/>
        <v>0.16033663996495306</v>
      </c>
      <c r="E10" s="1">
        <f t="shared" si="3"/>
        <v>12.624428459847554</v>
      </c>
      <c r="F10" s="1">
        <v>0.20042079995619133</v>
      </c>
      <c r="G10" s="1">
        <f>AVERAGE(E9:E11)</f>
        <v>12.41919551665381</v>
      </c>
      <c r="H10" s="1">
        <f>(1*E8+4*E9+6*E10+4*E11+1*E12)/16</f>
        <v>12.227009659124548</v>
      </c>
      <c r="I10" s="1">
        <f t="shared" si="4"/>
        <v>8.9931448649501551</v>
      </c>
      <c r="J10" s="1">
        <f>MEDIAN(E9:E11)</f>
        <v>12.430399148574288</v>
      </c>
    </row>
    <row r="11" spans="1:12" x14ac:dyDescent="0.25">
      <c r="A11" s="1">
        <v>5</v>
      </c>
      <c r="B11" s="1">
        <f t="shared" si="0"/>
        <v>9.5</v>
      </c>
      <c r="C11" s="1">
        <f t="shared" si="1"/>
        <v>1.9999787927029693</v>
      </c>
      <c r="D11" s="1">
        <f t="shared" si="2"/>
        <v>0.93042035587131977</v>
      </c>
      <c r="E11" s="1">
        <f t="shared" si="3"/>
        <v>12.430399148574288</v>
      </c>
      <c r="F11" s="1">
        <v>1.1630254448391497</v>
      </c>
      <c r="G11" s="1">
        <f>AVERAGE(E10:E12)</f>
        <v>11.801571798450576</v>
      </c>
      <c r="H11" s="1">
        <f>(1*E9+4*E10+6*E11+4*E12+1*E13)/16</f>
        <v>11.77634506821804</v>
      </c>
      <c r="I11" s="1">
        <f t="shared" si="4"/>
        <v>9.0550773745650037</v>
      </c>
      <c r="J11" s="1">
        <f>MEDIAN(E10:E12)</f>
        <v>12.430399148574288</v>
      </c>
    </row>
    <row r="12" spans="1:12" x14ac:dyDescent="0.25">
      <c r="A12" s="1">
        <v>6</v>
      </c>
      <c r="B12" s="1">
        <f t="shared" si="0"/>
        <v>10</v>
      </c>
      <c r="C12" s="1">
        <f t="shared" si="1"/>
        <v>-2.9385640824797792E-5</v>
      </c>
      <c r="D12" s="1">
        <f t="shared" si="2"/>
        <v>0.34991717257071286</v>
      </c>
      <c r="E12" s="1">
        <f t="shared" si="3"/>
        <v>10.349887786929887</v>
      </c>
      <c r="F12" s="1">
        <v>0.43739646571339108</v>
      </c>
      <c r="G12" s="1">
        <f>AVERAGE(E11:E13)</f>
        <v>10.839796402299257</v>
      </c>
      <c r="H12" s="1">
        <f>(1*E10+4*E11+6*E12+4*E13+1*E14)/16</f>
        <v>10.694542392357421</v>
      </c>
      <c r="I12" s="1">
        <f t="shared" si="4"/>
        <v>9.0784072919049112</v>
      </c>
      <c r="J12" s="1">
        <f>MEDIAN(E11:E13)</f>
        <v>10.349887786929887</v>
      </c>
    </row>
    <row r="13" spans="1:12" x14ac:dyDescent="0.25">
      <c r="A13" s="1">
        <v>7</v>
      </c>
      <c r="B13" s="1">
        <f t="shared" si="0"/>
        <v>10.5</v>
      </c>
      <c r="C13" s="1">
        <f t="shared" si="1"/>
        <v>-2.0000296900899124</v>
      </c>
      <c r="D13" s="1">
        <f t="shared" si="2"/>
        <v>1.2391319614835083</v>
      </c>
      <c r="E13" s="1">
        <f t="shared" si="3"/>
        <v>9.7391022713935964</v>
      </c>
      <c r="F13" s="1">
        <v>1.5489149518543854</v>
      </c>
      <c r="G13" s="1">
        <f>AVERAGE(E12:E14)</f>
        <v>9.2666358249146015</v>
      </c>
      <c r="H13" s="1">
        <f>(1*E11+4*E12+6*E13+4*E14+1*E15)/16</f>
        <v>9.4250029901358054</v>
      </c>
      <c r="I13" s="1">
        <f t="shared" si="4"/>
        <v>9.0903117059497536</v>
      </c>
      <c r="J13" s="1">
        <f>MEDIAN(E12:E14)</f>
        <v>9.7391022713935964</v>
      </c>
    </row>
    <row r="14" spans="1:12" x14ac:dyDescent="0.25">
      <c r="A14" s="1">
        <v>8</v>
      </c>
      <c r="B14" s="1">
        <f t="shared" si="0"/>
        <v>11</v>
      </c>
      <c r="C14" s="1">
        <f t="shared" si="1"/>
        <v>-3.4641212053987878</v>
      </c>
      <c r="D14" s="1">
        <f t="shared" si="2"/>
        <v>0.17503862181911245</v>
      </c>
      <c r="E14" s="1">
        <f t="shared" si="3"/>
        <v>7.7109174164203242</v>
      </c>
      <c r="F14" s="1">
        <v>0.21879827727389056</v>
      </c>
      <c r="G14" s="1">
        <f>AVERAGE(E13:E15)</f>
        <v>8.3806113132166988</v>
      </c>
      <c r="H14" s="1">
        <f>(1*E12+4*E13+6*E14+4*E15+1*E16)/16</f>
        <v>8.3957755908911498</v>
      </c>
      <c r="I14" s="1">
        <f t="shared" si="4"/>
        <v>9.0654577547870598</v>
      </c>
      <c r="J14" s="1">
        <f>MEDIAN(E13:E15)</f>
        <v>7.7109174164203242</v>
      </c>
    </row>
    <row r="15" spans="1:12" x14ac:dyDescent="0.25">
      <c r="A15" s="1">
        <v>9</v>
      </c>
      <c r="B15" s="1">
        <f t="shared" si="0"/>
        <v>11.5</v>
      </c>
      <c r="C15" s="1">
        <f t="shared" si="1"/>
        <v>-3.999999999757136</v>
      </c>
      <c r="D15" s="1">
        <f t="shared" si="2"/>
        <v>0.19181425159331411</v>
      </c>
      <c r="E15" s="1">
        <f t="shared" si="3"/>
        <v>7.6918142518361776</v>
      </c>
      <c r="F15" s="1">
        <v>0.23976781449164264</v>
      </c>
      <c r="G15" s="1">
        <f>AVERAGE(E14:E16)</f>
        <v>7.7986942480479895</v>
      </c>
      <c r="H15" s="1">
        <f>(1*E13+4*E14+6*E15+4*E16+1*E17)/16</f>
        <v>8.0266736452861061</v>
      </c>
      <c r="I15" s="1">
        <f t="shared" si="4"/>
        <v>9.0407074214005565</v>
      </c>
      <c r="J15" s="1">
        <f>MEDIAN(E14:E16)</f>
        <v>7.7109174164203242</v>
      </c>
    </row>
    <row r="16" spans="1:12" x14ac:dyDescent="0.25">
      <c r="A16" s="1">
        <v>10</v>
      </c>
      <c r="B16" s="1">
        <f t="shared" si="0"/>
        <v>12</v>
      </c>
      <c r="C16" s="1">
        <f t="shared" si="1"/>
        <v>-3.4640771268440709</v>
      </c>
      <c r="D16" s="1">
        <f t="shared" si="2"/>
        <v>-0.54257179726846516</v>
      </c>
      <c r="E16" s="1">
        <f t="shared" si="3"/>
        <v>7.993351075887464</v>
      </c>
      <c r="F16" s="1">
        <v>-0.67821474658558145</v>
      </c>
      <c r="G16" s="1">
        <f>AVERAGE(E15:E17)</f>
        <v>8.4682939668865043</v>
      </c>
      <c r="H16" s="1">
        <f>(1*E14+4*E15+6*E16+4*E17+1*E18)/16</f>
        <v>8.650092482573827</v>
      </c>
      <c r="I16" s="1">
        <f t="shared" si="4"/>
        <v>9.0218361358958159</v>
      </c>
      <c r="J16" s="1">
        <f>MEDIAN(E15:E17)</f>
        <v>7.993351075887464</v>
      </c>
    </row>
    <row r="17" spans="1:10" x14ac:dyDescent="0.25">
      <c r="A17" s="1">
        <v>11</v>
      </c>
      <c r="B17" s="1">
        <f t="shared" si="0"/>
        <v>12.5</v>
      </c>
      <c r="C17" s="1">
        <f t="shared" si="1"/>
        <v>-1.9999533438475887</v>
      </c>
      <c r="D17" s="1">
        <f t="shared" si="2"/>
        <v>-0.78033008321654052</v>
      </c>
      <c r="E17" s="1">
        <f t="shared" si="3"/>
        <v>9.7197165729358712</v>
      </c>
      <c r="F17" s="1">
        <v>-0.97541260402067564</v>
      </c>
      <c r="G17" s="1">
        <f>AVERAGE(E16:E18)</f>
        <v>10.265800066390421</v>
      </c>
      <c r="H17" s="1">
        <f>(1*E15+4*E16+6*E17+4*E18+1*E19)/16</f>
        <v>10.331288271059375</v>
      </c>
      <c r="I17" s="1">
        <f t="shared" si="4"/>
        <v>9.0344105581848257</v>
      </c>
      <c r="J17" s="1">
        <f>MEDIAN(E16:E18)</f>
        <v>9.7197165729358712</v>
      </c>
    </row>
    <row r="18" spans="1:10" x14ac:dyDescent="0.25">
      <c r="A18" s="1">
        <v>12</v>
      </c>
      <c r="B18" s="1">
        <f t="shared" si="0"/>
        <v>13</v>
      </c>
      <c r="C18" s="1">
        <f t="shared" si="1"/>
        <v>5.8771281648009646E-5</v>
      </c>
      <c r="D18" s="1">
        <f t="shared" si="2"/>
        <v>8.4273779066279531E-2</v>
      </c>
      <c r="E18" s="1">
        <f t="shared" si="3"/>
        <v>13.084332550347927</v>
      </c>
      <c r="F18" s="1">
        <v>0.10534222383284941</v>
      </c>
      <c r="G18" s="1">
        <f>AVERAGE(E17:E19)</f>
        <v>12.594604421946945</v>
      </c>
      <c r="H18" s="1">
        <f>(1*E16+4*E17+6*E18+4*E19+1*E20)/16</f>
        <v>12.660091022851072</v>
      </c>
      <c r="I18" s="1">
        <f t="shared" si="4"/>
        <v>9.1073821256111867</v>
      </c>
      <c r="J18" s="1">
        <f>MEDIAN(E17:E19)</f>
        <v>13.084332550347927</v>
      </c>
    </row>
    <row r="19" spans="1:10" x14ac:dyDescent="0.25">
      <c r="A19" s="1">
        <v>13</v>
      </c>
      <c r="B19" s="1">
        <f t="shared" si="0"/>
        <v>13.5</v>
      </c>
      <c r="C19" s="1">
        <f t="shared" si="1"/>
        <v>2.0000551386214722</v>
      </c>
      <c r="D19" s="1">
        <f t="shared" si="2"/>
        <v>-0.52029099606443197</v>
      </c>
      <c r="E19" s="1">
        <f t="shared" si="3"/>
        <v>14.979764142557041</v>
      </c>
      <c r="F19" s="1">
        <v>-0.65036374508053996</v>
      </c>
      <c r="G19" s="1">
        <f>AVERAGE(E18:E20)</f>
        <v>15.109427939525148</v>
      </c>
      <c r="H19" s="1">
        <f>(1*E17+4*E18+6*E19+4*E20+1*E21)/16</f>
        <v>14.903355049598806</v>
      </c>
      <c r="I19" s="1">
        <f t="shared" si="4"/>
        <v>9.213190810601203</v>
      </c>
      <c r="J19" s="1">
        <f>MEDIAN(E18:E20)</f>
        <v>14.979764142557041</v>
      </c>
    </row>
    <row r="20" spans="1:10" x14ac:dyDescent="0.25">
      <c r="A20" s="1">
        <v>14</v>
      </c>
      <c r="B20" s="1">
        <f t="shared" si="0"/>
        <v>14</v>
      </c>
      <c r="C20" s="1">
        <f t="shared" si="1"/>
        <v>3.4641358978764449</v>
      </c>
      <c r="D20" s="1">
        <f t="shared" si="2"/>
        <v>-0.19994877220597118</v>
      </c>
      <c r="E20" s="1">
        <f t="shared" si="3"/>
        <v>17.264187125670475</v>
      </c>
      <c r="F20" s="1">
        <v>-0.24993596525746398</v>
      </c>
      <c r="G20" s="1">
        <f>AVERAGE(E19:E21)</f>
        <v>16.568417309818901</v>
      </c>
      <c r="H20" s="1">
        <f>(1*E18+4*E19+6*E20+4*E21+1*E22)/16</f>
        <v>16.500167130970137</v>
      </c>
      <c r="I20" s="1">
        <f t="shared" si="4"/>
        <v>9.3582538072691186</v>
      </c>
      <c r="J20" s="1">
        <f>MEDIAN(E19:E21)</f>
        <v>17.264187125670475</v>
      </c>
    </row>
    <row r="21" spans="1:10" x14ac:dyDescent="0.25">
      <c r="A21" s="1">
        <v>15</v>
      </c>
      <c r="B21" s="1">
        <f t="shared" si="0"/>
        <v>14.5</v>
      </c>
      <c r="C21" s="1">
        <f t="shared" si="1"/>
        <v>3.9999999993253783</v>
      </c>
      <c r="D21" s="1">
        <f t="shared" si="2"/>
        <v>-1.038699338096194</v>
      </c>
      <c r="E21" s="1">
        <f t="shared" si="3"/>
        <v>17.461300661229185</v>
      </c>
      <c r="F21" s="1">
        <v>-1.2983741726202425</v>
      </c>
      <c r="G21" s="1">
        <f>AVERAGE(E20:E22)</f>
        <v>17.43148245430206</v>
      </c>
      <c r="H21" s="1">
        <f>(1*E19+4*E20+6*E21+4*E22+1*E23)/16</f>
        <v>17.306623650626992</v>
      </c>
      <c r="I21" s="1">
        <f t="shared" si="4"/>
        <v>9.5042546514846151</v>
      </c>
      <c r="J21" s="1">
        <f>MEDIAN(E20:E22)</f>
        <v>17.461300661229185</v>
      </c>
    </row>
    <row r="22" spans="1:10" x14ac:dyDescent="0.25">
      <c r="A22" s="1">
        <v>16</v>
      </c>
      <c r="B22" s="1">
        <f t="shared" si="0"/>
        <v>15</v>
      </c>
      <c r="C22" s="1">
        <f t="shared" si="1"/>
        <v>3.4640624336185875</v>
      </c>
      <c r="D22" s="1">
        <f t="shared" si="2"/>
        <v>-0.89510285761207342</v>
      </c>
      <c r="E22" s="1">
        <f t="shared" si="3"/>
        <v>17.568959576006513</v>
      </c>
      <c r="F22" s="1">
        <v>-1.1188785720150918</v>
      </c>
      <c r="G22" s="1">
        <f>AVERAGE(E21:E23)</f>
        <v>17.618694576875818</v>
      </c>
      <c r="H22" s="1">
        <f>(1*E20+4*E21+6*E22+4*E23+1*E24)/16</f>
        <v>17.515613588399699</v>
      </c>
      <c r="I22" s="1">
        <f t="shared" si="4"/>
        <v>9.649564650124649</v>
      </c>
      <c r="J22" s="1">
        <f>MEDIAN(E21:E23)</f>
        <v>17.568959576006513</v>
      </c>
    </row>
    <row r="23" spans="1:10" x14ac:dyDescent="0.25">
      <c r="A23" s="1">
        <v>17</v>
      </c>
      <c r="B23" s="1">
        <f t="shared" si="0"/>
        <v>15.5</v>
      </c>
      <c r="C23" s="1">
        <f t="shared" si="1"/>
        <v>1.9999278948842727</v>
      </c>
      <c r="D23" s="1">
        <f t="shared" si="2"/>
        <v>0.32589559850748628</v>
      </c>
      <c r="E23" s="1">
        <f t="shared" si="3"/>
        <v>17.825823493391759</v>
      </c>
      <c r="F23" s="1">
        <v>0.40736949813435785</v>
      </c>
      <c r="G23" s="1">
        <f>AVERAGE(E22:E24)</f>
        <v>17.272719761200026</v>
      </c>
      <c r="H23" s="1">
        <f>(1*E21+4*E22+6*E23+4*E24+1*E25)/16</f>
        <v>17.201253977525283</v>
      </c>
      <c r="I23" s="1">
        <f t="shared" si="4"/>
        <v>9.7968846292826157</v>
      </c>
      <c r="J23" s="1">
        <f>MEDIAN(E22:E24)</f>
        <v>17.568959576006513</v>
      </c>
    </row>
    <row r="24" spans="1:10" x14ac:dyDescent="0.25">
      <c r="A24" s="1">
        <v>18</v>
      </c>
      <c r="B24" s="1">
        <f t="shared" si="0"/>
        <v>16</v>
      </c>
      <c r="C24" s="1">
        <f t="shared" si="1"/>
        <v>-8.8156922471602347E-5</v>
      </c>
      <c r="D24" s="1">
        <f t="shared" si="2"/>
        <v>0.42346437112428248</v>
      </c>
      <c r="E24" s="1">
        <f t="shared" si="3"/>
        <v>16.423376214201809</v>
      </c>
      <c r="F24" s="1">
        <v>0.5293304639053531</v>
      </c>
      <c r="G24" s="1">
        <f>AVERAGE(E23:E25)</f>
        <v>16.361226188528349</v>
      </c>
      <c r="H24" s="1">
        <f>(1*E22+4*E23+6*E24+4*E25+1*E26)/16</f>
        <v>16.210656477648662</v>
      </c>
      <c r="I24" s="1">
        <f t="shared" si="4"/>
        <v>9.9162808740559338</v>
      </c>
      <c r="J24" s="1">
        <f>MEDIAN(E23:E25)</f>
        <v>16.423376214201809</v>
      </c>
    </row>
    <row r="25" spans="1:10" x14ac:dyDescent="0.25">
      <c r="A25" s="1">
        <v>19</v>
      </c>
      <c r="B25" s="1">
        <f t="shared" si="0"/>
        <v>16.5</v>
      </c>
      <c r="C25" s="1">
        <f t="shared" si="1"/>
        <v>-2.0000805870450931</v>
      </c>
      <c r="D25" s="1">
        <f t="shared" si="2"/>
        <v>0.3345594450365752</v>
      </c>
      <c r="E25" s="1">
        <f t="shared" si="3"/>
        <v>14.834478857991481</v>
      </c>
      <c r="F25" s="1">
        <v>0.418199306295719</v>
      </c>
      <c r="G25" s="1">
        <f>AVERAGE(E24:E26)</f>
        <v>14.625977482607192</v>
      </c>
      <c r="H25" s="1">
        <f>(1*E23+4*E24+6*E25+4*E26+1*E27)/16</f>
        <v>14.761330015256426</v>
      </c>
      <c r="I25" s="1">
        <f t="shared" si="4"/>
        <v>10.004897053946664</v>
      </c>
      <c r="J25" s="1">
        <f>MEDIAN(E24:E26)</f>
        <v>14.834478857991481</v>
      </c>
    </row>
    <row r="26" spans="1:10" x14ac:dyDescent="0.25">
      <c r="A26" s="1">
        <v>20</v>
      </c>
      <c r="B26" s="1">
        <f t="shared" si="0"/>
        <v>17</v>
      </c>
      <c r="C26" s="1">
        <f t="shared" si="1"/>
        <v>-3.4641505901671454</v>
      </c>
      <c r="D26" s="1">
        <f t="shared" si="2"/>
        <v>-0.91577203420456499</v>
      </c>
      <c r="E26" s="1">
        <f t="shared" si="3"/>
        <v>12.62007737562829</v>
      </c>
      <c r="F26" s="1">
        <v>-1.1447150427557062</v>
      </c>
      <c r="G26" s="1">
        <f>AVERAGE(E25:E27)</f>
        <v>13.543108492353847</v>
      </c>
      <c r="H26" s="1">
        <f>(1*E24+4*E25+6*E26+4*E27+1*E28)/16</f>
        <v>13.661919777181678</v>
      </c>
      <c r="I26" s="1">
        <f t="shared" si="4"/>
        <v>10.052017420103088</v>
      </c>
      <c r="J26" s="1">
        <f>MEDIAN(E25:E27)</f>
        <v>13.174769243441769</v>
      </c>
    </row>
    <row r="27" spans="1:10" x14ac:dyDescent="0.25">
      <c r="A27" s="1">
        <v>21</v>
      </c>
      <c r="B27" s="1">
        <f t="shared" si="0"/>
        <v>17.5</v>
      </c>
      <c r="C27" s="1">
        <f t="shared" si="1"/>
        <v>-3.9999999986777413</v>
      </c>
      <c r="D27" s="1">
        <f t="shared" si="2"/>
        <v>-0.32523075788049027</v>
      </c>
      <c r="E27" s="1">
        <f t="shared" si="3"/>
        <v>13.174769243441769</v>
      </c>
      <c r="F27" s="1">
        <v>-0.40653844735061284</v>
      </c>
      <c r="G27" s="1">
        <f>AVERAGE(E26:E28)</f>
        <v>13.401576726757453</v>
      </c>
      <c r="H27" s="1">
        <f>(1*E25+4*E26+6*E27+4*E28+1*E29)/16</f>
        <v>13.685367910551919</v>
      </c>
      <c r="I27" s="1">
        <f t="shared" si="4"/>
        <v>10.108283218721802</v>
      </c>
      <c r="J27" s="1">
        <f>MEDIAN(E26:E28)</f>
        <v>13.174769243441769</v>
      </c>
    </row>
    <row r="28" spans="1:10" x14ac:dyDescent="0.25">
      <c r="A28" s="1">
        <v>22</v>
      </c>
      <c r="B28" s="1">
        <f t="shared" si="0"/>
        <v>18</v>
      </c>
      <c r="C28" s="1">
        <f t="shared" si="1"/>
        <v>-3.4640477402061478</v>
      </c>
      <c r="D28" s="1">
        <f t="shared" si="2"/>
        <v>-0.12606869859155267</v>
      </c>
      <c r="E28" s="1">
        <f t="shared" si="3"/>
        <v>14.4098835612023</v>
      </c>
      <c r="F28" s="1">
        <v>-0.15758587323944084</v>
      </c>
      <c r="G28" s="1">
        <f>AVERAGE(E27:E29)</f>
        <v>14.849200435836771</v>
      </c>
      <c r="H28" s="1">
        <f>(1*E26+4*E27+6*E28+4*E29+1*E30)/16</f>
        <v>14.886060145870674</v>
      </c>
      <c r="I28" s="1">
        <f t="shared" si="4"/>
        <v>10.185789531198928</v>
      </c>
      <c r="J28" s="1">
        <f>MEDIAN(E27:E29)</f>
        <v>14.4098835612023</v>
      </c>
    </row>
    <row r="29" spans="1:10" x14ac:dyDescent="0.25">
      <c r="A29" s="1">
        <v>23</v>
      </c>
      <c r="B29" s="1">
        <f t="shared" si="0"/>
        <v>18.5</v>
      </c>
      <c r="C29" s="1">
        <f t="shared" si="1"/>
        <v>-1.9999024458130181</v>
      </c>
      <c r="D29" s="1">
        <f t="shared" si="2"/>
        <v>0.46285094867926091</v>
      </c>
      <c r="E29" s="1">
        <f t="shared" si="3"/>
        <v>16.962948502866244</v>
      </c>
      <c r="F29" s="1">
        <v>0.57856368584907614</v>
      </c>
      <c r="G29" s="1">
        <f>AVERAGE(E28:E30)</f>
        <v>16.639848223308395</v>
      </c>
      <c r="H29" s="1">
        <f>(1*E27+4*E28+6*E29+4*E30+1*E31)/16</f>
        <v>16.770088227117672</v>
      </c>
      <c r="I29" s="1">
        <f t="shared" si="4"/>
        <v>10.307900503661402</v>
      </c>
      <c r="J29" s="1">
        <f>MEDIAN(E28:E30)</f>
        <v>16.962948502866244</v>
      </c>
    </row>
    <row r="30" spans="1:10" x14ac:dyDescent="0.25">
      <c r="A30" s="1">
        <v>24</v>
      </c>
      <c r="B30" s="1">
        <f t="shared" si="0"/>
        <v>19</v>
      </c>
      <c r="C30" s="1">
        <f t="shared" si="1"/>
        <v>1.1754256328333181E-4</v>
      </c>
      <c r="D30" s="1">
        <f t="shared" si="2"/>
        <v>-0.45340493670664728</v>
      </c>
      <c r="E30" s="1">
        <f t="shared" si="3"/>
        <v>18.546712605856637</v>
      </c>
      <c r="F30" s="1">
        <v>-0.5667561708833091</v>
      </c>
      <c r="G30" s="1">
        <f>AVERAGE(E29:E31)</f>
        <v>19.017409271243537</v>
      </c>
      <c r="H30" s="1">
        <f>(1*E28+4*E29+6*E30+4*E31+1*E32)/16</f>
        <v>18.806970326497868</v>
      </c>
      <c r="I30" s="1">
        <f t="shared" si="4"/>
        <v>10.456347568565819</v>
      </c>
      <c r="J30" s="1">
        <f>MEDIAN(E29:E31)</f>
        <v>18.546712605856637</v>
      </c>
    </row>
    <row r="31" spans="1:10" x14ac:dyDescent="0.25">
      <c r="A31" s="1">
        <v>25</v>
      </c>
      <c r="B31" s="1">
        <f t="shared" si="0"/>
        <v>19.5</v>
      </c>
      <c r="C31" s="1">
        <f t="shared" si="1"/>
        <v>2.0001060353607634</v>
      </c>
      <c r="D31" s="1">
        <f t="shared" si="2"/>
        <v>4.2460669646970928E-2</v>
      </c>
      <c r="E31" s="1">
        <f t="shared" si="3"/>
        <v>21.542566705007733</v>
      </c>
      <c r="F31" s="1">
        <v>5.307583705871366E-2</v>
      </c>
      <c r="G31" s="1">
        <f>AVERAGE(E30:E32)</f>
        <v>20.429528168997411</v>
      </c>
      <c r="H31" s="1">
        <f>(1*E29+4*E30+6*E31+4*E32+1*E33)/16</f>
        <v>20.60653704509421</v>
      </c>
      <c r="I31" s="1">
        <f t="shared" si="4"/>
        <v>10.656099264717925</v>
      </c>
      <c r="J31" s="1">
        <f>MEDIAN(E30:E32)</f>
        <v>21.199305196127867</v>
      </c>
    </row>
    <row r="32" spans="1:10" x14ac:dyDescent="0.25">
      <c r="A32" s="1">
        <v>26</v>
      </c>
      <c r="B32" s="1">
        <f t="shared" si="0"/>
        <v>20</v>
      </c>
      <c r="C32" s="1">
        <f t="shared" si="1"/>
        <v>3.4641652822708835</v>
      </c>
      <c r="D32" s="1">
        <f t="shared" si="2"/>
        <v>-2.2648600861430168</v>
      </c>
      <c r="E32" s="1">
        <f t="shared" si="3"/>
        <v>21.199305196127867</v>
      </c>
      <c r="F32" s="1">
        <v>-2.831075107678771</v>
      </c>
      <c r="G32" s="1">
        <f>AVERAGE(E31:E33)</f>
        <v>22.414681560597455</v>
      </c>
      <c r="H32" s="1">
        <f>(1*E30+4*E31+6*E32+4*E33+1*E34)/16</f>
        <v>22.098533702166346</v>
      </c>
      <c r="I32" s="1">
        <f t="shared" si="4"/>
        <v>10.846066939157744</v>
      </c>
      <c r="J32" s="1">
        <f>MEDIAN(E31:E33)</f>
        <v>21.542566705007733</v>
      </c>
    </row>
    <row r="33" spans="1:10" x14ac:dyDescent="0.25">
      <c r="A33" s="1">
        <v>27</v>
      </c>
      <c r="B33" s="1">
        <f t="shared" si="0"/>
        <v>20.5</v>
      </c>
      <c r="C33" s="1">
        <f t="shared" si="1"/>
        <v>3.9999999978142253</v>
      </c>
      <c r="D33" s="1">
        <f t="shared" si="2"/>
        <v>2.1727828425355256E-3</v>
      </c>
      <c r="E33" s="1">
        <f t="shared" si="3"/>
        <v>24.50217278065676</v>
      </c>
      <c r="F33" s="1">
        <v>2.715978553169407E-3</v>
      </c>
      <c r="G33" s="1">
        <f>AVERAGE(E32:E34)</f>
        <v>23.118838495388122</v>
      </c>
      <c r="H33" s="1">
        <f>(1*E31+4*E32+6*E33+4*E34+1*E35)/16</f>
        <v>23.191397264433469</v>
      </c>
      <c r="I33" s="1">
        <f t="shared" si="4"/>
        <v>11.092122900265835</v>
      </c>
      <c r="J33" s="1">
        <f>MEDIAN(E32:E34)</f>
        <v>23.655037509379738</v>
      </c>
    </row>
    <row r="34" spans="1:10" x14ac:dyDescent="0.25">
      <c r="A34" s="1">
        <v>28</v>
      </c>
      <c r="B34" s="1">
        <f t="shared" si="0"/>
        <v>21</v>
      </c>
      <c r="C34" s="1">
        <f t="shared" si="1"/>
        <v>3.4640330466067577</v>
      </c>
      <c r="D34" s="1">
        <f t="shared" si="2"/>
        <v>-0.80899553722701967</v>
      </c>
      <c r="E34" s="1">
        <f t="shared" si="3"/>
        <v>23.655037509379738</v>
      </c>
      <c r="F34" s="1">
        <v>-1.0112444215337746</v>
      </c>
      <c r="G34" s="1">
        <f>AVERAGE(E33:E35)</f>
        <v>23.748864103331112</v>
      </c>
      <c r="H34" s="1">
        <f>(1*E32+4*E33+6*E34+4*E35+1*E36)/16</f>
        <v>23.445701069523132</v>
      </c>
      <c r="I34" s="1">
        <f t="shared" si="4"/>
        <v>11.31848172205167</v>
      </c>
      <c r="J34" s="1">
        <f>MEDIAN(E33:E35)</f>
        <v>23.655037509379738</v>
      </c>
    </row>
    <row r="35" spans="1:10" x14ac:dyDescent="0.25">
      <c r="A35" s="1">
        <v>29</v>
      </c>
      <c r="B35" s="1">
        <f t="shared" si="0"/>
        <v>21.5</v>
      </c>
      <c r="C35" s="1">
        <f t="shared" si="1"/>
        <v>1.9998769966338354</v>
      </c>
      <c r="D35" s="1">
        <f t="shared" si="2"/>
        <v>-0.41049497667700052</v>
      </c>
      <c r="E35" s="1">
        <f t="shared" si="3"/>
        <v>23.089382019956837</v>
      </c>
      <c r="F35" s="1">
        <v>-0.51311872084625065</v>
      </c>
      <c r="G35" s="1">
        <f>AVERAGE(E34:E36)</f>
        <v>22.793295728948653</v>
      </c>
      <c r="H35" s="1">
        <f>(1*E33+4*E34+6*E35+4*E36+1*E37)/16</f>
        <v>22.883128620481248</v>
      </c>
      <c r="I35" s="1">
        <f t="shared" si="4"/>
        <v>11.530570015707619</v>
      </c>
      <c r="J35" s="1">
        <f>MEDIAN(E34:E36)</f>
        <v>23.089382019956837</v>
      </c>
    </row>
    <row r="36" spans="1:10" x14ac:dyDescent="0.25">
      <c r="A36" s="1">
        <v>30</v>
      </c>
      <c r="B36" s="1">
        <f t="shared" si="0"/>
        <v>22</v>
      </c>
      <c r="C36" s="1">
        <f t="shared" si="1"/>
        <v>-1.4692820409582295E-4</v>
      </c>
      <c r="D36" s="1">
        <f t="shared" si="2"/>
        <v>-0.36438541428651661</v>
      </c>
      <c r="E36" s="1">
        <f t="shared" si="3"/>
        <v>21.635467657509388</v>
      </c>
      <c r="F36" s="1">
        <v>-0.45548176785814576</v>
      </c>
      <c r="G36" s="1">
        <f>AVERAGE(E35:E37)</f>
        <v>22.218140679070643</v>
      </c>
      <c r="H36" s="1">
        <f>(1*E34+4*E35+6*E36+4*E37+1*E38)/16</f>
        <v>22.019235694164088</v>
      </c>
      <c r="I36" s="1">
        <f t="shared" si="4"/>
        <v>11.712640243487831</v>
      </c>
      <c r="J36" s="1">
        <f>MEDIAN(E35:E37)</f>
        <v>21.929572359745698</v>
      </c>
    </row>
    <row r="37" spans="1:10" x14ac:dyDescent="0.25">
      <c r="A37" s="1">
        <v>31</v>
      </c>
      <c r="B37" s="1">
        <f t="shared" si="0"/>
        <v>22.5</v>
      </c>
      <c r="C37" s="1">
        <f t="shared" si="1"/>
        <v>-2.0001314835685009</v>
      </c>
      <c r="D37" s="1">
        <f t="shared" si="2"/>
        <v>1.4297038433142006</v>
      </c>
      <c r="E37" s="1">
        <f t="shared" si="3"/>
        <v>21.929572359745698</v>
      </c>
      <c r="F37" s="1">
        <v>1.7871298041427508</v>
      </c>
      <c r="G37" s="1">
        <f>AVERAGE(E36:E38)</f>
        <v>20.776383383544761</v>
      </c>
      <c r="H37" s="1">
        <f>(1*E35+4*E36+6*E37+4*E38+1*E39)/16</f>
        <v>20.893413745727251</v>
      </c>
      <c r="I37" s="1">
        <f t="shared" si="4"/>
        <v>11.896729110447431</v>
      </c>
      <c r="J37" s="1">
        <f>MEDIAN(E36:E38)</f>
        <v>21.635467657509388</v>
      </c>
    </row>
    <row r="38" spans="1:10" x14ac:dyDescent="0.25">
      <c r="A38" s="1">
        <v>32</v>
      </c>
      <c r="B38" s="1">
        <f t="shared" si="0"/>
        <v>23</v>
      </c>
      <c r="C38" s="1">
        <f t="shared" si="1"/>
        <v>-3.4641799741876644</v>
      </c>
      <c r="D38" s="1">
        <f t="shared" si="2"/>
        <v>-0.7717098924331367</v>
      </c>
      <c r="E38" s="1">
        <f t="shared" si="3"/>
        <v>18.764110133379198</v>
      </c>
      <c r="F38" s="1">
        <v>-0.96463736554142088</v>
      </c>
      <c r="G38" s="1">
        <f>AVERAGE(E37:E39)</f>
        <v>19.574391694258509</v>
      </c>
      <c r="H38" s="1">
        <f>(1*E36+4*E37+6*E38+4*E39+1*E40)/16</f>
        <v>19.767000635366781</v>
      </c>
      <c r="I38" s="1">
        <f t="shared" si="4"/>
        <v>12.02046570545521</v>
      </c>
      <c r="J38" s="1">
        <f>MEDIAN(E37:E39)</f>
        <v>18.764110133379198</v>
      </c>
    </row>
    <row r="39" spans="1:10" x14ac:dyDescent="0.25">
      <c r="A39" s="1">
        <v>33</v>
      </c>
      <c r="B39" s="1">
        <f t="shared" ref="B39:B70" si="5">$B$2 + $C$2*A39</f>
        <v>23.5</v>
      </c>
      <c r="C39" s="1">
        <f t="shared" si="1"/>
        <v>-3.9999999967348305</v>
      </c>
      <c r="D39" s="1">
        <f t="shared" si="2"/>
        <v>-1.4705074136145413</v>
      </c>
      <c r="E39" s="1">
        <f t="shared" si="3"/>
        <v>18.02949258965063</v>
      </c>
      <c r="F39" s="1">
        <v>-1.8381342670181766</v>
      </c>
      <c r="G39" s="1">
        <f>AVERAGE(E38:E40)</f>
        <v>19.669741544509478</v>
      </c>
      <c r="H39" s="1">
        <f>(1*E37+4*E38+6*E39+4*E40+1*E41)/16</f>
        <v>19.7010430534283</v>
      </c>
      <c r="I39" s="1">
        <f t="shared" si="4"/>
        <v>12.128736460125399</v>
      </c>
      <c r="J39" s="1">
        <f>MEDIAN(E38:E40)</f>
        <v>18.764110133379198</v>
      </c>
    </row>
    <row r="40" spans="1:10" x14ac:dyDescent="0.25">
      <c r="A40" s="1">
        <v>34</v>
      </c>
      <c r="B40" s="1">
        <f t="shared" si="5"/>
        <v>24</v>
      </c>
      <c r="C40" s="1">
        <f t="shared" si="1"/>
        <v>-3.4640183528204114</v>
      </c>
      <c r="D40" s="1">
        <f t="shared" si="2"/>
        <v>1.6796402633190155</v>
      </c>
      <c r="E40" s="1">
        <f t="shared" si="3"/>
        <v>22.215621910498605</v>
      </c>
      <c r="F40" s="1">
        <v>2.0995503291487694</v>
      </c>
      <c r="G40" s="1">
        <f>AVERAGE(E39:E41)</f>
        <v>20.478782427280461</v>
      </c>
      <c r="H40" s="1">
        <f>(1*E38+4*E39+6*E40+4*E41+1*E42)/16</f>
        <v>20.94652108244507</v>
      </c>
      <c r="I40" s="1">
        <f t="shared" si="4"/>
        <v>12.310482143915907</v>
      </c>
      <c r="J40" s="1">
        <f>MEDIAN(E39:E41)</f>
        <v>21.19123278169214</v>
      </c>
    </row>
    <row r="41" spans="1:10" x14ac:dyDescent="0.25">
      <c r="A41" s="1">
        <v>35</v>
      </c>
      <c r="B41" s="1">
        <f t="shared" si="5"/>
        <v>24.5</v>
      </c>
      <c r="C41" s="1">
        <f t="shared" si="1"/>
        <v>-1.9998515473467198</v>
      </c>
      <c r="D41" s="1">
        <f t="shared" si="2"/>
        <v>-1.3089156709611416</v>
      </c>
      <c r="E41" s="1">
        <f t="shared" si="3"/>
        <v>21.19123278169214</v>
      </c>
      <c r="F41" s="1">
        <v>-1.636144588701427</v>
      </c>
      <c r="G41" s="1">
        <f>AVERAGE(E40:E42)</f>
        <v>23.203482976523315</v>
      </c>
      <c r="H41" s="1">
        <f>(1*E39+4*E40+6*E41+4*E42+1*E43)/16</f>
        <v>22.769271754958211</v>
      </c>
      <c r="I41" s="1">
        <f t="shared" si="4"/>
        <v>12.470495668920885</v>
      </c>
      <c r="J41" s="1">
        <f>MEDIAN(E40:E42)</f>
        <v>22.215621910498605</v>
      </c>
    </row>
    <row r="42" spans="1:10" x14ac:dyDescent="0.25">
      <c r="A42" s="1">
        <v>36</v>
      </c>
      <c r="B42" s="1">
        <f t="shared" si="5"/>
        <v>25</v>
      </c>
      <c r="C42" s="1">
        <f t="shared" si="1"/>
        <v>1.7631384490038443E-4</v>
      </c>
      <c r="D42" s="1">
        <f t="shared" si="2"/>
        <v>1.203417923534289</v>
      </c>
      <c r="E42" s="1">
        <f t="shared" si="3"/>
        <v>26.203594237379189</v>
      </c>
      <c r="F42" s="1">
        <v>1.5042724044178613</v>
      </c>
      <c r="G42" s="1">
        <f>AVERAGE(E41:E43)</f>
        <v>24.283140409029357</v>
      </c>
      <c r="H42" s="1">
        <f>(1*E40+4*E41+6*E42+4*E43+1*E44)/16</f>
        <v>24.669530786120841</v>
      </c>
      <c r="I42" s="1">
        <f t="shared" si="4"/>
        <v>12.717938886370584</v>
      </c>
      <c r="J42" s="1">
        <f>MEDIAN(E41:E43)</f>
        <v>25.454594208016744</v>
      </c>
    </row>
    <row r="43" spans="1:10" x14ac:dyDescent="0.25">
      <c r="A43" s="1">
        <v>37</v>
      </c>
      <c r="B43" s="1">
        <f t="shared" si="5"/>
        <v>25.5</v>
      </c>
      <c r="C43" s="1">
        <f t="shared" si="1"/>
        <v>2.0001569316682737</v>
      </c>
      <c r="D43" s="1">
        <f t="shared" si="2"/>
        <v>-2.0455627236515284</v>
      </c>
      <c r="E43" s="1">
        <f t="shared" si="3"/>
        <v>25.454594208016744</v>
      </c>
      <c r="F43" s="1">
        <v>-2.5569534045644104</v>
      </c>
      <c r="G43" s="1">
        <f>AVERAGE(E42:E44)</f>
        <v>26.783395243240047</v>
      </c>
      <c r="H43" s="1">
        <f>(1*E41+4*E42+6*E43+4*E44+1*E45)/16</f>
        <v>26.492758373237525</v>
      </c>
      <c r="I43" s="1">
        <f t="shared" si="4"/>
        <v>12.94742817144529</v>
      </c>
      <c r="J43" s="1">
        <f>MEDIAN(E42:E44)</f>
        <v>26.203594237379189</v>
      </c>
    </row>
    <row r="44" spans="1:10" x14ac:dyDescent="0.25">
      <c r="A44" s="1">
        <v>38</v>
      </c>
      <c r="B44" s="1">
        <f t="shared" si="5"/>
        <v>26</v>
      </c>
      <c r="C44" s="1">
        <f t="shared" si="1"/>
        <v>3.4641946659174847</v>
      </c>
      <c r="D44" s="1">
        <f t="shared" si="2"/>
        <v>-0.77219738159328699</v>
      </c>
      <c r="E44" s="1">
        <f t="shared" si="3"/>
        <v>28.691997284324199</v>
      </c>
      <c r="F44" s="1">
        <v>-0.96524672699160874</v>
      </c>
      <c r="G44" s="1">
        <f>AVERAGE(E43:E45)</f>
        <v>28.176520449178387</v>
      </c>
      <c r="H44" s="1">
        <f>(1*E42+4*E43+6*E44+4*E45+1*E46)/16</f>
        <v>28.212175519182544</v>
      </c>
      <c r="I44" s="1">
        <f t="shared" si="4"/>
        <v>13.231114101407071</v>
      </c>
      <c r="J44" s="1">
        <f>MEDIAN(E43:E45)</f>
        <v>28.691997284324199</v>
      </c>
    </row>
    <row r="45" spans="1:10" x14ac:dyDescent="0.25">
      <c r="A45" s="1">
        <v>39</v>
      </c>
      <c r="B45" s="1">
        <f t="shared" si="5"/>
        <v>26.5</v>
      </c>
      <c r="C45" s="1">
        <f t="shared" si="1"/>
        <v>3.9999999954395569</v>
      </c>
      <c r="D45" s="1">
        <f t="shared" si="2"/>
        <v>-0.11703014024533331</v>
      </c>
      <c r="E45" s="1">
        <f t="shared" si="3"/>
        <v>30.382969855194222</v>
      </c>
      <c r="F45" s="1">
        <v>-0.14628767530666664</v>
      </c>
      <c r="G45" s="1">
        <f>AVERAGE(E44:E46)</f>
        <v>29.587980416756977</v>
      </c>
      <c r="H45" s="1">
        <f>(1*E43+4*E44+6*E45+4*E46+1*E47)/16</f>
        <v>29.405441553990599</v>
      </c>
      <c r="I45" s="1">
        <f t="shared" si="4"/>
        <v>13.540156547421253</v>
      </c>
      <c r="J45" s="1">
        <f>MEDIAN(E44:E46)</f>
        <v>29.688974110752504</v>
      </c>
    </row>
    <row r="46" spans="1:10" x14ac:dyDescent="0.25">
      <c r="A46" s="1">
        <v>40</v>
      </c>
      <c r="B46" s="1">
        <f t="shared" si="5"/>
        <v>27</v>
      </c>
      <c r="C46" s="1">
        <f t="shared" si="1"/>
        <v>3.4640036588471128</v>
      </c>
      <c r="D46" s="1">
        <f t="shared" si="2"/>
        <v>-0.77502954809460789</v>
      </c>
      <c r="E46" s="1">
        <f t="shared" si="3"/>
        <v>29.688974110752504</v>
      </c>
      <c r="F46" s="1">
        <v>-0.96878693511825986</v>
      </c>
      <c r="G46" s="1">
        <f>AVERAGE(E45:E47)</f>
        <v>29.760903303435807</v>
      </c>
      <c r="H46" s="1">
        <f>(1*E44+4*E45+6*E46+4*E47+1*E48)/16</f>
        <v>29.523037220141507</v>
      </c>
      <c r="I46" s="1">
        <f t="shared" si="4"/>
        <v>13.831126233247041</v>
      </c>
      <c r="J46" s="1">
        <f>MEDIAN(E45:E47)</f>
        <v>29.688974110752504</v>
      </c>
    </row>
    <row r="47" spans="1:10" x14ac:dyDescent="0.25">
      <c r="A47" s="1">
        <v>41</v>
      </c>
      <c r="B47" s="1">
        <f t="shared" si="5"/>
        <v>27.5</v>
      </c>
      <c r="C47" s="1">
        <f t="shared" si="1"/>
        <v>1.9998260979516667</v>
      </c>
      <c r="D47" s="1">
        <f t="shared" si="2"/>
        <v>-0.28906015359098092</v>
      </c>
      <c r="E47" s="1">
        <f t="shared" si="3"/>
        <v>29.210765944360684</v>
      </c>
      <c r="F47" s="1">
        <v>-0.36132519198872615</v>
      </c>
      <c r="G47" s="1">
        <f>AVERAGE(E46:E48)</f>
        <v>28.689183476772815</v>
      </c>
      <c r="H47" s="1">
        <f>(1*E45+4*E46+6*E47+4*E48+1*E49)/16</f>
        <v>28.76120667924204</v>
      </c>
      <c r="I47" s="1">
        <f t="shared" si="4"/>
        <v>14.108236858672511</v>
      </c>
      <c r="J47" s="1">
        <f>MEDIAN(E46:E48)</f>
        <v>29.210765944360684</v>
      </c>
    </row>
    <row r="48" spans="1:10" x14ac:dyDescent="0.25">
      <c r="A48" s="1">
        <v>42</v>
      </c>
      <c r="B48" s="1">
        <f t="shared" si="5"/>
        <v>28</v>
      </c>
      <c r="C48" s="1">
        <f t="shared" si="1"/>
        <v>-2.056994856954303E-4</v>
      </c>
      <c r="D48" s="1">
        <f t="shared" si="2"/>
        <v>-0.8319839253090322</v>
      </c>
      <c r="E48" s="1">
        <f t="shared" si="3"/>
        <v>27.167810375205271</v>
      </c>
      <c r="F48" s="1">
        <v>-1.0399799066362903</v>
      </c>
      <c r="G48" s="1">
        <f>AVERAGE(E47:E49)</f>
        <v>27.827726574083027</v>
      </c>
      <c r="H48" s="1">
        <f>(1*E46+4*E47+6*E48+4*E49+1*E50)/16</f>
        <v>27.655324465641119</v>
      </c>
      <c r="I48" s="1">
        <f t="shared" si="4"/>
        <v>14.343544489601028</v>
      </c>
      <c r="J48" s="1">
        <f>MEDIAN(E47:E49)</f>
        <v>27.167810375205271</v>
      </c>
    </row>
    <row r="49" spans="1:10" x14ac:dyDescent="0.25">
      <c r="A49" s="1">
        <v>43</v>
      </c>
      <c r="B49" s="1">
        <f t="shared" si="5"/>
        <v>28.5</v>
      </c>
      <c r="C49" s="1">
        <f t="shared" si="1"/>
        <v>-2.0001823796601106</v>
      </c>
      <c r="D49" s="1">
        <f t="shared" si="2"/>
        <v>0.60478578234324232</v>
      </c>
      <c r="E49" s="1">
        <f t="shared" si="3"/>
        <v>27.104603402683132</v>
      </c>
      <c r="F49" s="1">
        <v>0.7559822279290529</v>
      </c>
      <c r="G49" s="1">
        <f>AVERAGE(E48:E50)</f>
        <v>26.266763825995625</v>
      </c>
      <c r="H49" s="1">
        <f>(1*E47+4*E48+6*E49+4*E50+1*E51)/16</f>
        <v>26.495885694588658</v>
      </c>
      <c r="I49" s="1">
        <f t="shared" si="4"/>
        <v>14.57347347902593</v>
      </c>
      <c r="J49" s="1">
        <f>MEDIAN(E48:E50)</f>
        <v>27.104603402683132</v>
      </c>
    </row>
    <row r="50" spans="1:10" x14ac:dyDescent="0.25">
      <c r="A50" s="1">
        <v>44</v>
      </c>
      <c r="B50" s="1">
        <f t="shared" si="5"/>
        <v>29</v>
      </c>
      <c r="C50" s="1">
        <f t="shared" si="1"/>
        <v>-3.464209357460343</v>
      </c>
      <c r="D50" s="1">
        <f t="shared" si="2"/>
        <v>-1.0079129424411803</v>
      </c>
      <c r="E50" s="1">
        <f t="shared" si="3"/>
        <v>24.527877700098475</v>
      </c>
      <c r="F50" s="1">
        <v>-1.2598911780514754</v>
      </c>
      <c r="G50" s="1">
        <f>AVERAGE(E49:E51)</f>
        <v>25.648504518175212</v>
      </c>
      <c r="H50" s="1">
        <f>(1*E48+4*E49+6*E50+4*E51+1*E52)/16</f>
        <v>25.645916594061735</v>
      </c>
      <c r="I50" s="1">
        <f t="shared" si="4"/>
        <v>14.752832113639849</v>
      </c>
      <c r="J50" s="1">
        <f>MEDIAN(E49:E51)</f>
        <v>25.313032451744029</v>
      </c>
    </row>
    <row r="51" spans="1:10" x14ac:dyDescent="0.25">
      <c r="A51" s="1">
        <v>45</v>
      </c>
      <c r="B51" s="1">
        <f t="shared" si="5"/>
        <v>29.5</v>
      </c>
      <c r="C51" s="1">
        <f t="shared" si="1"/>
        <v>-3.9999999939284039</v>
      </c>
      <c r="D51" s="1">
        <f t="shared" si="2"/>
        <v>-0.18696755432756618</v>
      </c>
      <c r="E51" s="1">
        <f t="shared" si="3"/>
        <v>25.313032451744029</v>
      </c>
      <c r="F51" s="1">
        <v>-0.23370944290945772</v>
      </c>
      <c r="G51" s="1">
        <f>AVERAGE(E50:E52)</f>
        <v>25.3899852211085</v>
      </c>
      <c r="H51" s="1">
        <f>(1*E49+4*E50+6*E51+4*E52+1*E53)/16</f>
        <v>25.748768733503447</v>
      </c>
      <c r="I51" s="1">
        <f t="shared" si="4"/>
        <v>14.943105993605689</v>
      </c>
      <c r="J51" s="1">
        <f>MEDIAN(E50:E52)</f>
        <v>25.313032451744029</v>
      </c>
    </row>
    <row r="52" spans="1:10" x14ac:dyDescent="0.25">
      <c r="A52" s="1">
        <v>46</v>
      </c>
      <c r="B52" s="1">
        <f t="shared" si="5"/>
        <v>30</v>
      </c>
      <c r="C52" s="1">
        <f t="shared" si="1"/>
        <v>-3.4639889646868625</v>
      </c>
      <c r="D52" s="1">
        <f t="shared" si="2"/>
        <v>-0.20696552383014932</v>
      </c>
      <c r="E52" s="1">
        <f t="shared" si="3"/>
        <v>26.329045511482988</v>
      </c>
      <c r="F52" s="1">
        <v>-0.25870690478768665</v>
      </c>
      <c r="G52" s="1">
        <f>AVERAGE(E51:E53)</f>
        <v>27.070628913269662</v>
      </c>
      <c r="H52" s="1">
        <f>(1*E50+4*E51+6*E52+4*E53+1*E54)/16</f>
        <v>27.120154651825043</v>
      </c>
      <c r="I52" s="1">
        <f t="shared" si="4"/>
        <v>15.148258056990866</v>
      </c>
      <c r="J52" s="1">
        <f>MEDIAN(E51:E53)</f>
        <v>26.329045511482988</v>
      </c>
    </row>
    <row r="53" spans="1:10" x14ac:dyDescent="0.25">
      <c r="A53" s="1">
        <v>47</v>
      </c>
      <c r="B53" s="1">
        <f t="shared" si="5"/>
        <v>30.5</v>
      </c>
      <c r="C53" s="1">
        <f t="shared" si="1"/>
        <v>-1.9998006484486832</v>
      </c>
      <c r="D53" s="1">
        <f t="shared" si="2"/>
        <v>1.0696094250306487</v>
      </c>
      <c r="E53" s="1">
        <f t="shared" si="3"/>
        <v>29.569808776581965</v>
      </c>
      <c r="F53" s="1">
        <v>1.3370117812883109</v>
      </c>
      <c r="G53" s="1">
        <f>AVERAGE(E52:E54)</f>
        <v>29.262604344988418</v>
      </c>
      <c r="H53" s="1">
        <f>(1*E51+4*E52+6*E53+4*E54+1*E55)/16</f>
        <v>29.277433813608102</v>
      </c>
      <c r="I53" s="1">
        <f t="shared" si="4"/>
        <v>15.408105817704218</v>
      </c>
      <c r="J53" s="1">
        <f>MEDIAN(E52:E54)</f>
        <v>29.569808776581965</v>
      </c>
    </row>
    <row r="54" spans="1:10" x14ac:dyDescent="0.25">
      <c r="A54" s="1">
        <v>48</v>
      </c>
      <c r="B54" s="1">
        <f t="shared" si="5"/>
        <v>31</v>
      </c>
      <c r="C54" s="1">
        <f t="shared" si="1"/>
        <v>2.3508512646516376E-4</v>
      </c>
      <c r="D54" s="1">
        <f t="shared" si="2"/>
        <v>0.8887236617738381</v>
      </c>
      <c r="E54" s="1">
        <f t="shared" si="3"/>
        <v>31.888958746900304</v>
      </c>
      <c r="F54" s="1">
        <v>1.1109045772172976</v>
      </c>
      <c r="G54" s="1">
        <f>AVERAGE(E53:E55)</f>
        <v>31.431268798814301</v>
      </c>
      <c r="H54" s="1">
        <f>(1*E52+4*E53+6*E54+4*E55+1*E56)/16</f>
        <v>31.319728266237785</v>
      </c>
      <c r="I54" s="1">
        <f t="shared" si="4"/>
        <v>15.705058122734778</v>
      </c>
      <c r="J54" s="1">
        <f>MEDIAN(E53:E55)</f>
        <v>31.888958746900304</v>
      </c>
    </row>
    <row r="55" spans="1:10" x14ac:dyDescent="0.25">
      <c r="A55" s="1">
        <v>49</v>
      </c>
      <c r="B55" s="1">
        <f t="shared" si="5"/>
        <v>31.5</v>
      </c>
      <c r="C55" s="1">
        <f t="shared" si="1"/>
        <v>2.0002078275439978</v>
      </c>
      <c r="D55" s="1">
        <f t="shared" si="2"/>
        <v>-0.66516895458335057</v>
      </c>
      <c r="E55" s="1">
        <f t="shared" si="3"/>
        <v>32.835038872960645</v>
      </c>
      <c r="F55" s="1">
        <v>-0.83146119322918821</v>
      </c>
      <c r="G55" s="1">
        <f>AVERAGE(E54:E56)</f>
        <v>32.852487096203419</v>
      </c>
      <c r="H55" s="1">
        <f>(1*E53+4*E54+6*E55+4*E56+1*E57)/16</f>
        <v>32.837097184508835</v>
      </c>
      <c r="I55" s="1">
        <f t="shared" si="4"/>
        <v>16.013706424540647</v>
      </c>
      <c r="J55" s="1">
        <f>MEDIAN(E54:E56)</f>
        <v>32.835038872960645</v>
      </c>
    </row>
    <row r="56" spans="1:10" x14ac:dyDescent="0.25">
      <c r="A56" s="1">
        <v>50</v>
      </c>
      <c r="B56" s="1">
        <f t="shared" si="5"/>
        <v>32</v>
      </c>
      <c r="C56" s="1">
        <f t="shared" si="1"/>
        <v>3.4642240488162321</v>
      </c>
      <c r="D56" s="1">
        <f t="shared" si="2"/>
        <v>-1.6307603800669312</v>
      </c>
      <c r="E56" s="1">
        <f t="shared" si="3"/>
        <v>33.833463668749303</v>
      </c>
      <c r="F56" s="1">
        <v>-2.0384504750836641</v>
      </c>
      <c r="G56" s="1">
        <f>AVERAGE(E55:E57)</f>
        <v>34.197441938969014</v>
      </c>
      <c r="H56" s="1">
        <f>(1*E54+4*E55+6*E56+4*E57+1*E58)/16</f>
        <v>34.167368579209992</v>
      </c>
      <c r="I56" s="1">
        <f t="shared" si="4"/>
        <v>16.334783131643505</v>
      </c>
      <c r="J56" s="1">
        <f>MEDIAN(E55:E57)</f>
        <v>33.833463668749303</v>
      </c>
    </row>
    <row r="57" spans="1:10" x14ac:dyDescent="0.25">
      <c r="A57" s="1">
        <v>51</v>
      </c>
      <c r="B57" s="1">
        <f t="shared" si="5"/>
        <v>32.5</v>
      </c>
      <c r="C57" s="1">
        <f t="shared" si="1"/>
        <v>3.999999992201372</v>
      </c>
      <c r="D57" s="1">
        <f t="shared" si="2"/>
        <v>-0.57617671700427309</v>
      </c>
      <c r="E57" s="1">
        <f t="shared" si="3"/>
        <v>35.923823275197101</v>
      </c>
      <c r="F57" s="1">
        <v>-0.72022089625534136</v>
      </c>
      <c r="G57" s="1">
        <f>AVERAGE(E56:E58)</f>
        <v>35.503331619759706</v>
      </c>
      <c r="H57" s="1">
        <f>(1*E55+4*E56+6*E57+4*E58+1*E59)/16</f>
        <v>35.402439991282201</v>
      </c>
      <c r="I57" s="1">
        <f t="shared" si="4"/>
        <v>16.687738809905731</v>
      </c>
      <c r="J57" s="1">
        <f>MEDIAN(E56:E58)</f>
        <v>35.923823275197101</v>
      </c>
    </row>
    <row r="58" spans="1:10" x14ac:dyDescent="0.25">
      <c r="A58" s="1">
        <v>52</v>
      </c>
      <c r="B58" s="1">
        <f t="shared" si="5"/>
        <v>33</v>
      </c>
      <c r="C58" s="1">
        <f t="shared" si="1"/>
        <v>3.4639742703396692</v>
      </c>
      <c r="D58" s="1">
        <f t="shared" si="2"/>
        <v>0.28873364499304444</v>
      </c>
      <c r="E58" s="1">
        <f t="shared" si="3"/>
        <v>36.752707915332714</v>
      </c>
      <c r="F58" s="1">
        <v>0.36091705624130554</v>
      </c>
      <c r="G58" s="1">
        <f>AVERAGE(E57:E59)</f>
        <v>36.130968730191206</v>
      </c>
      <c r="H58" s="1">
        <f>(1*E56+4*E57+6*E58+4*E59+1*E60)/16</f>
        <v>35.953953532591022</v>
      </c>
      <c r="I58" s="1">
        <f t="shared" si="4"/>
        <v>17.049269784778289</v>
      </c>
      <c r="J58" s="1">
        <f>MEDIAN(E57:E59)</f>
        <v>35.923823275197101</v>
      </c>
    </row>
    <row r="59" spans="1:10" x14ac:dyDescent="0.25">
      <c r="A59" s="1">
        <v>53</v>
      </c>
      <c r="B59" s="1">
        <f t="shared" si="5"/>
        <v>33.5</v>
      </c>
      <c r="C59" s="1">
        <f t="shared" si="1"/>
        <v>1.9997751988377712</v>
      </c>
      <c r="D59" s="1">
        <f t="shared" si="2"/>
        <v>0.21659980120602995</v>
      </c>
      <c r="E59" s="1">
        <f t="shared" si="3"/>
        <v>35.716375000043804</v>
      </c>
      <c r="F59" s="1">
        <v>0.27074975150753744</v>
      </c>
      <c r="G59" s="1">
        <f>AVERAGE(E58:E60)</f>
        <v>35.607278391707879</v>
      </c>
      <c r="H59" s="1">
        <f>(1*E57+4*E58+6*E59+4*E60+1*E61)/16</f>
        <v>35.456532347656889</v>
      </c>
      <c r="I59" s="1">
        <f t="shared" si="4"/>
        <v>17.385614022891183</v>
      </c>
      <c r="J59" s="1">
        <f>MEDIAN(E58:E60)</f>
        <v>35.716375000043804</v>
      </c>
    </row>
    <row r="60" spans="1:10" x14ac:dyDescent="0.25">
      <c r="A60" s="1">
        <v>54</v>
      </c>
      <c r="B60" s="1">
        <f t="shared" si="5"/>
        <v>34</v>
      </c>
      <c r="C60" s="1">
        <f t="shared" si="1"/>
        <v>-2.6447076723642055E-4</v>
      </c>
      <c r="D60" s="1">
        <f t="shared" si="2"/>
        <v>0.353016730514355</v>
      </c>
      <c r="E60" s="1">
        <f t="shared" si="3"/>
        <v>34.35275225974712</v>
      </c>
      <c r="F60" s="1">
        <v>0.44127091314294375</v>
      </c>
      <c r="G60" s="1">
        <f>AVERAGE(E59:E61)</f>
        <v>34.243243615507303</v>
      </c>
      <c r="H60" s="1">
        <f>(1*E58+4*E59+6*E60+4*E61+1*E62)/16</f>
        <v>34.180201814076369</v>
      </c>
      <c r="I60" s="1">
        <f t="shared" si="4"/>
        <v>17.691328225357054</v>
      </c>
      <c r="J60" s="1">
        <f>MEDIAN(E59:E61)</f>
        <v>34.35275225974712</v>
      </c>
    </row>
    <row r="61" spans="1:10" x14ac:dyDescent="0.25">
      <c r="A61" s="1">
        <v>55</v>
      </c>
      <c r="B61" s="1">
        <f t="shared" si="5"/>
        <v>34.5</v>
      </c>
      <c r="C61" s="1">
        <f t="shared" si="1"/>
        <v>-2.000233275319935</v>
      </c>
      <c r="D61" s="1">
        <f t="shared" si="2"/>
        <v>0.16083686205092818</v>
      </c>
      <c r="E61" s="1">
        <f t="shared" si="3"/>
        <v>32.660603586730993</v>
      </c>
      <c r="F61" s="1">
        <v>0.20104607756366022</v>
      </c>
      <c r="G61" s="1">
        <f>AVERAGE(E60:E62)</f>
        <v>32.506483016928449</v>
      </c>
      <c r="H61" s="1">
        <f>(1*E59+4*E60+6*E61+4*E62+1*E63)/16</f>
        <v>32.683406481646017</v>
      </c>
      <c r="I61" s="1">
        <f t="shared" si="4"/>
        <v>17.961044898534965</v>
      </c>
      <c r="J61" s="1">
        <f>MEDIAN(E60:E62)</f>
        <v>32.660603586730993</v>
      </c>
    </row>
    <row r="62" spans="1:10" x14ac:dyDescent="0.25">
      <c r="A62" s="1">
        <v>56</v>
      </c>
      <c r="B62" s="1">
        <f t="shared" si="5"/>
        <v>35</v>
      </c>
      <c r="C62" s="1">
        <f t="shared" si="1"/>
        <v>-3.4642387399851646</v>
      </c>
      <c r="D62" s="1">
        <f t="shared" si="2"/>
        <v>-1.0296680557075888</v>
      </c>
      <c r="E62" s="1">
        <f t="shared" si="3"/>
        <v>30.506093204307248</v>
      </c>
      <c r="F62" s="1">
        <v>-1.287085069634486</v>
      </c>
      <c r="G62" s="1">
        <f>AVERAGE(E61:E63)</f>
        <v>31.661940706909089</v>
      </c>
      <c r="H62" s="1">
        <f>(1*E60+4*E61+6*E62+4*E63+1*E64)/16</f>
        <v>31.75035023438171</v>
      </c>
      <c r="I62" s="1">
        <f t="shared" si="4"/>
        <v>18.187081804945276</v>
      </c>
      <c r="J62" s="1">
        <f>MEDIAN(E61:E63)</f>
        <v>31.819125329689026</v>
      </c>
    </row>
    <row r="63" spans="1:10" x14ac:dyDescent="0.25">
      <c r="A63" s="1">
        <v>57</v>
      </c>
      <c r="B63" s="1">
        <f t="shared" si="5"/>
        <v>35.5</v>
      </c>
      <c r="C63" s="1">
        <f t="shared" si="1"/>
        <v>-3.9999999902584613</v>
      </c>
      <c r="D63" s="1">
        <f t="shared" si="2"/>
        <v>0.31912531994748861</v>
      </c>
      <c r="E63" s="1">
        <f t="shared" si="3"/>
        <v>31.819125329689026</v>
      </c>
      <c r="F63" s="1">
        <v>0.39890664993436076</v>
      </c>
      <c r="G63" s="1">
        <f>AVERAGE(E62:E64)</f>
        <v>31.674198377610988</v>
      </c>
      <c r="H63" s="1">
        <f>(1*E61+4*E62+6*E63+4*E64+1*E65)/16</f>
        <v>31.959974381671408</v>
      </c>
      <c r="I63" s="1">
        <f t="shared" si="4"/>
        <v>18.432704210796516</v>
      </c>
      <c r="J63" s="1">
        <f>MEDIAN(E62:E64)</f>
        <v>31.819125329689026</v>
      </c>
    </row>
    <row r="64" spans="1:10" x14ac:dyDescent="0.25">
      <c r="A64" s="1">
        <v>58</v>
      </c>
      <c r="B64" s="1">
        <f t="shared" si="5"/>
        <v>36</v>
      </c>
      <c r="C64" s="1">
        <f t="shared" si="1"/>
        <v>-3.4639595758055188</v>
      </c>
      <c r="D64" s="1">
        <f t="shared" si="2"/>
        <v>0.16133617464220151</v>
      </c>
      <c r="E64" s="1">
        <f t="shared" si="3"/>
        <v>32.697376598836684</v>
      </c>
      <c r="F64" s="1">
        <v>0.20167021830275189</v>
      </c>
      <c r="G64" s="1">
        <f>AVERAGE(E63:E65)</f>
        <v>33.162285752609129</v>
      </c>
      <c r="H64" s="1">
        <f>(1*E62+4*E63+6*E64+4*E65+1*E66)/16</f>
        <v>33.267354326783149</v>
      </c>
      <c r="I64" s="1">
        <f t="shared" si="4"/>
        <v>18.689725334905347</v>
      </c>
      <c r="J64" s="1">
        <f>MEDIAN(E63:E65)</f>
        <v>32.697376598836684</v>
      </c>
    </row>
    <row r="65" spans="1:10" x14ac:dyDescent="0.25">
      <c r="A65" s="1">
        <v>59</v>
      </c>
      <c r="B65" s="1">
        <f t="shared" si="5"/>
        <v>36.5</v>
      </c>
      <c r="C65" s="1">
        <f t="shared" si="1"/>
        <v>-1.9997497491189318</v>
      </c>
      <c r="D65" s="1">
        <f t="shared" si="2"/>
        <v>0.47010507842060179</v>
      </c>
      <c r="E65" s="1">
        <f t="shared" si="3"/>
        <v>34.970355329301668</v>
      </c>
      <c r="F65" s="1">
        <v>0.58763134802575223</v>
      </c>
      <c r="G65" s="1">
        <f>AVERAGE(E64:E66)</f>
        <v>35.365708574459525</v>
      </c>
      <c r="H65" s="1">
        <f>(1*E63+4*E64+6*E65+4*E66+1*E67)/16</f>
        <v>35.352163325891262</v>
      </c>
      <c r="I65" s="1">
        <f t="shared" si="4"/>
        <v>18.983070019489062</v>
      </c>
      <c r="J65" s="1">
        <f>MEDIAN(E64:E66)</f>
        <v>34.970355329301668</v>
      </c>
    </row>
    <row r="66" spans="1:10" x14ac:dyDescent="0.25">
      <c r="A66" s="1">
        <v>60</v>
      </c>
      <c r="B66" s="1">
        <f t="shared" si="5"/>
        <v>37</v>
      </c>
      <c r="C66" s="1">
        <f t="shared" si="1"/>
        <v>2.9385640799340398E-4</v>
      </c>
      <c r="D66" s="1">
        <f t="shared" si="2"/>
        <v>1.4290999388322234</v>
      </c>
      <c r="E66" s="1">
        <f t="shared" si="3"/>
        <v>38.429393795240216</v>
      </c>
      <c r="F66" s="1">
        <v>1.7863749235402793</v>
      </c>
      <c r="G66" s="1">
        <f>AVERAGE(E65:E67)</f>
        <v>37.628674485665115</v>
      </c>
      <c r="H66" s="1">
        <f>(1*E64+4*E65+6*E66+4*E67+1*E68)/16</f>
        <v>37.719062153344836</v>
      </c>
      <c r="I66" s="1">
        <f t="shared" si="4"/>
        <v>19.333454231664756</v>
      </c>
      <c r="J66" s="1">
        <f>MEDIAN(E65:E67)</f>
        <v>38.429393795240216</v>
      </c>
    </row>
    <row r="67" spans="1:10" x14ac:dyDescent="0.25">
      <c r="A67" s="1">
        <v>61</v>
      </c>
      <c r="B67" s="1">
        <f t="shared" si="5"/>
        <v>37.5</v>
      </c>
      <c r="C67" s="1">
        <f t="shared" si="1"/>
        <v>2.0002587229879198</v>
      </c>
      <c r="D67" s="1">
        <f t="shared" si="2"/>
        <v>-1.3984390534460545E-2</v>
      </c>
      <c r="E67" s="1">
        <f t="shared" si="3"/>
        <v>39.486274332453462</v>
      </c>
      <c r="F67" s="1">
        <v>-1.7480488168075681E-2</v>
      </c>
      <c r="G67" s="1">
        <f>AVERAGE(E66:E68)</f>
        <v>40.106801521304185</v>
      </c>
      <c r="H67" s="1">
        <f>(1*E65+4*E66+6*E67+4*E68+1*E69)/16</f>
        <v>39.783133361113968</v>
      </c>
      <c r="I67" s="1">
        <f t="shared" si="4"/>
        <v>19.696568107354643</v>
      </c>
      <c r="J67" s="1">
        <f>MEDIAN(E66:E68)</f>
        <v>39.486274332453462</v>
      </c>
    </row>
    <row r="68" spans="1:10" x14ac:dyDescent="0.25">
      <c r="A68" s="1">
        <v>62</v>
      </c>
      <c r="B68" s="1">
        <f t="shared" si="5"/>
        <v>38</v>
      </c>
      <c r="C68" s="1">
        <f t="shared" si="1"/>
        <v>3.4642534309671404</v>
      </c>
      <c r="D68" s="1">
        <f t="shared" si="2"/>
        <v>0.94048300525173545</v>
      </c>
      <c r="E68" s="1">
        <f t="shared" si="3"/>
        <v>42.404736436218876</v>
      </c>
      <c r="F68" s="1">
        <v>1.1756037565646693</v>
      </c>
      <c r="G68" s="1">
        <f>AVERAGE(E67:E69)</f>
        <v>41.065540765545641</v>
      </c>
      <c r="H68" s="1">
        <f>(1*E66+4*E67+6*E68+4*E69+1*E70)/16</f>
        <v>41.095804756682853</v>
      </c>
      <c r="I68" s="1">
        <f t="shared" si="4"/>
        <v>20.105724293460305</v>
      </c>
      <c r="J68" s="1">
        <f>MEDIAN(E67:E69)</f>
        <v>41.305611527964587</v>
      </c>
    </row>
    <row r="69" spans="1:10" x14ac:dyDescent="0.25">
      <c r="A69" s="1">
        <v>63</v>
      </c>
      <c r="B69" s="1">
        <f t="shared" si="5"/>
        <v>38.5</v>
      </c>
      <c r="C69" s="1">
        <f t="shared" si="1"/>
        <v>3.9999999880996717</v>
      </c>
      <c r="D69" s="1">
        <f t="shared" si="2"/>
        <v>-1.1943884601350874</v>
      </c>
      <c r="E69" s="1">
        <f t="shared" si="3"/>
        <v>41.305611527964587</v>
      </c>
      <c r="F69" s="1">
        <v>-1.4929855751688592</v>
      </c>
      <c r="G69" s="1">
        <f>AVERAGE(E68:E70)</f>
        <v>41.739289405627822</v>
      </c>
      <c r="H69" s="1">
        <f>(1*E67+4*E68+6*E69+4*E70+1*E71)/16</f>
        <v>41.550562852796205</v>
      </c>
      <c r="I69" s="1">
        <f t="shared" si="4"/>
        <v>20.487704243631555</v>
      </c>
      <c r="J69" s="1">
        <f>MEDIAN(E68:E70)</f>
        <v>41.507520252700004</v>
      </c>
    </row>
    <row r="70" spans="1:10" x14ac:dyDescent="0.25">
      <c r="A70" s="1">
        <v>64</v>
      </c>
      <c r="B70" s="1">
        <f t="shared" si="5"/>
        <v>39</v>
      </c>
      <c r="C70" s="1">
        <f t="shared" si="1"/>
        <v>3.4639448810844193</v>
      </c>
      <c r="D70" s="1">
        <f t="shared" si="2"/>
        <v>-0.95642462838441133</v>
      </c>
      <c r="E70" s="1">
        <f t="shared" si="3"/>
        <v>41.507520252700004</v>
      </c>
      <c r="F70" s="1">
        <v>-1.1955307854805142</v>
      </c>
      <c r="G70" s="1">
        <f>AVERAGE(E69:E71)</f>
        <v>41.551055723162449</v>
      </c>
      <c r="H70" s="1">
        <f>(1*E68+4*E69+6*E70+4*E71+1*E72)/16</f>
        <v>41.555501284782316</v>
      </c>
      <c r="I70" s="1">
        <f t="shared" si="4"/>
        <v>20.866439667218373</v>
      </c>
      <c r="J70" s="1">
        <f>MEDIAN(E69:E71)</f>
        <v>41.507520252700004</v>
      </c>
    </row>
    <row r="71" spans="1:10" x14ac:dyDescent="0.25">
      <c r="A71" s="1">
        <v>65</v>
      </c>
      <c r="B71" s="1">
        <f t="shared" ref="B71:B102" si="6">$B$2 + $C$2*A71</f>
        <v>39.5</v>
      </c>
      <c r="C71" s="1">
        <f t="shared" si="1"/>
        <v>1.9997242992921664</v>
      </c>
      <c r="D71" s="1">
        <f t="shared" si="2"/>
        <v>0.3403110895305872</v>
      </c>
      <c r="E71" s="1">
        <f t="shared" si="3"/>
        <v>41.840035388822756</v>
      </c>
      <c r="F71" s="1">
        <v>0.425388861913234</v>
      </c>
      <c r="G71" s="1">
        <f>AVERAGE(E70:E72)</f>
        <v>41.40104352615716</v>
      </c>
      <c r="H71" s="1">
        <f>(1*E69+4*E70+6*E71+4*E72+1*E73)/16</f>
        <v>41.268985303868853</v>
      </c>
      <c r="I71" s="1">
        <f t="shared" si="4"/>
        <v>21.244342292832865</v>
      </c>
      <c r="J71" s="1">
        <f>MEDIAN(E70:E72)</f>
        <v>41.507520252700004</v>
      </c>
    </row>
    <row r="72" spans="1:10" x14ac:dyDescent="0.25">
      <c r="A72" s="1">
        <v>66</v>
      </c>
      <c r="B72" s="1">
        <f t="shared" si="6"/>
        <v>40</v>
      </c>
      <c r="C72" s="1">
        <f t="shared" ref="C72:C116" si="7">$D$2* SIN(0.5236*A72)</f>
        <v>-3.2324204872031717E-4</v>
      </c>
      <c r="D72" s="1">
        <f t="shared" ref="D72:D116" si="8">$E$2 * F72</f>
        <v>0.85589817899744958</v>
      </c>
      <c r="E72" s="1">
        <f t="shared" ref="E72:E116" si="9">B72+C72+D72</f>
        <v>40.855574936948727</v>
      </c>
      <c r="F72" s="1">
        <v>1.069872723746812</v>
      </c>
      <c r="G72" s="1">
        <f>AVERAGE(E71:E73)</f>
        <v>40.400390189392375</v>
      </c>
      <c r="H72" s="1">
        <f>(1*E70+4*E71+6*E72+4*E73+1*E74)/16</f>
        <v>40.299689975403581</v>
      </c>
      <c r="I72" s="1">
        <f t="shared" si="4"/>
        <v>21.597697835970088</v>
      </c>
      <c r="J72" s="1">
        <f>MEDIAN(E71:E73)</f>
        <v>40.855574936948727</v>
      </c>
    </row>
    <row r="73" spans="1:10" x14ac:dyDescent="0.25">
      <c r="A73" s="1">
        <v>67</v>
      </c>
      <c r="B73" s="1">
        <f t="shared" si="6"/>
        <v>40.5</v>
      </c>
      <c r="C73" s="1">
        <f t="shared" si="7"/>
        <v>-2.0002841705479386</v>
      </c>
      <c r="D73" s="1">
        <f t="shared" si="8"/>
        <v>5.8444129535928369E-3</v>
      </c>
      <c r="E73" s="1">
        <f t="shared" si="9"/>
        <v>38.505560242405657</v>
      </c>
      <c r="F73" s="1">
        <v>7.3055161919910461E-3</v>
      </c>
      <c r="G73" s="1">
        <f>AVERAGE(E72:E74)</f>
        <v>38.710940795501891</v>
      </c>
      <c r="H73" s="1">
        <f>(1*E71+4*E72+6*E73+4*E74+1*E75)/16</f>
        <v>38.71558762037953</v>
      </c>
      <c r="I73" s="1">
        <f t="shared" ref="I73:I116" si="10">$H$2*E73+(1-$H$2)*I72</f>
        <v>21.902344005455411</v>
      </c>
      <c r="J73" s="1">
        <f>MEDIAN(E72:E74)</f>
        <v>38.505560242405657</v>
      </c>
    </row>
    <row r="74" spans="1:10" x14ac:dyDescent="0.25">
      <c r="A74" s="1">
        <v>68</v>
      </c>
      <c r="B74" s="1">
        <f t="shared" si="6"/>
        <v>41</v>
      </c>
      <c r="C74" s="1">
        <f t="shared" si="7"/>
        <v>-3.4642681217621369</v>
      </c>
      <c r="D74" s="1">
        <f t="shared" si="8"/>
        <v>-0.76404467108659446</v>
      </c>
      <c r="E74" s="1">
        <f t="shared" si="9"/>
        <v>36.771687207151267</v>
      </c>
      <c r="F74" s="1">
        <v>-0.95505583885824308</v>
      </c>
      <c r="G74" s="1">
        <f>AVERAGE(E73:E75)</f>
        <v>37.114734651990936</v>
      </c>
      <c r="H74" s="1">
        <f>(1*E72+4*E73+6*E74+4*E75+1*E76)/16</f>
        <v>37.369403606042148</v>
      </c>
      <c r="I74" s="1">
        <f t="shared" si="10"/>
        <v>22.170260099179661</v>
      </c>
      <c r="J74" s="1">
        <f>MEDIAN(E73:E75)</f>
        <v>36.771687207151267</v>
      </c>
    </row>
    <row r="75" spans="1:10" x14ac:dyDescent="0.25">
      <c r="A75" s="1">
        <v>69</v>
      </c>
      <c r="B75" s="1">
        <f t="shared" si="6"/>
        <v>41.5</v>
      </c>
      <c r="C75" s="1">
        <f t="shared" si="7"/>
        <v>-3.9999999857250028</v>
      </c>
      <c r="D75" s="1">
        <f t="shared" si="8"/>
        <v>-1.4330435078591108</v>
      </c>
      <c r="E75" s="1">
        <f t="shared" si="9"/>
        <v>36.066956506415885</v>
      </c>
      <c r="F75" s="1">
        <v>-1.7913043848238885</v>
      </c>
      <c r="G75" s="1">
        <f>AVERAGE(E74:E76)</f>
        <v>36.991112078366349</v>
      </c>
      <c r="H75" s="1">
        <f>(1*E73+4*E74+6*E75+4*E76+1*E77)/16</f>
        <v>37.274900798425669</v>
      </c>
      <c r="I75" s="1">
        <f t="shared" si="10"/>
        <v>22.420651025436168</v>
      </c>
      <c r="J75" s="1">
        <f>MEDIAN(E74:E76)</f>
        <v>36.771687207151267</v>
      </c>
    </row>
    <row r="76" spans="1:10" x14ac:dyDescent="0.25">
      <c r="A76" s="1">
        <v>70</v>
      </c>
      <c r="B76" s="1">
        <f t="shared" si="6"/>
        <v>42</v>
      </c>
      <c r="C76" s="1">
        <f t="shared" si="7"/>
        <v>-3.4639301861763787</v>
      </c>
      <c r="D76" s="1">
        <f t="shared" si="8"/>
        <v>-0.40137729229172692</v>
      </c>
      <c r="E76" s="1">
        <f t="shared" si="9"/>
        <v>38.134692521531896</v>
      </c>
      <c r="F76" s="1">
        <v>-0.50172161536465865</v>
      </c>
      <c r="G76" s="1">
        <f>AVERAGE(E75:E77)</f>
        <v>38.689081202374979</v>
      </c>
      <c r="H76" s="1">
        <f>(1*E74+4*E75+6*E76+4*E77+1*E78)/16</f>
        <v>38.83148297448799</v>
      </c>
      <c r="I76" s="1">
        <f t="shared" si="10"/>
        <v>22.703786908248706</v>
      </c>
      <c r="J76" s="1">
        <f>MEDIAN(E75:E77)</f>
        <v>38.134692521531896</v>
      </c>
    </row>
    <row r="77" spans="1:10" x14ac:dyDescent="0.25">
      <c r="A77" s="1">
        <v>71</v>
      </c>
      <c r="B77" s="1">
        <f t="shared" si="6"/>
        <v>42.5</v>
      </c>
      <c r="C77" s="1">
        <f t="shared" si="7"/>
        <v>-1.9996988493574888</v>
      </c>
      <c r="D77" s="1">
        <f t="shared" si="8"/>
        <v>1.3652934285346419</v>
      </c>
      <c r="E77" s="1">
        <f t="shared" si="9"/>
        <v>41.865594579177156</v>
      </c>
      <c r="F77" s="1">
        <v>1.7066167856683023</v>
      </c>
      <c r="G77" s="1">
        <f>AVERAGE(E76:E78)</f>
        <v>41.331322671267351</v>
      </c>
      <c r="H77" s="1">
        <f>(1*E75+4*E76+6*E77+4*E78+1*E79)/16</f>
        <v>41.275151378264368</v>
      </c>
      <c r="I77" s="1">
        <f t="shared" si="10"/>
        <v>23.04904470412129</v>
      </c>
      <c r="J77" s="1">
        <f>MEDIAN(E76:E78)</f>
        <v>41.865594579177156</v>
      </c>
    </row>
    <row r="78" spans="1:10" x14ac:dyDescent="0.25">
      <c r="A78" s="1">
        <v>72</v>
      </c>
      <c r="B78" s="1">
        <f t="shared" si="6"/>
        <v>43</v>
      </c>
      <c r="C78" s="1">
        <f t="shared" si="7"/>
        <v>3.5262768945820678E-4</v>
      </c>
      <c r="D78" s="1">
        <f t="shared" si="8"/>
        <v>0.99332828540354967</v>
      </c>
      <c r="E78" s="1">
        <f t="shared" si="9"/>
        <v>43.993680913093009</v>
      </c>
      <c r="F78" s="1">
        <v>1.2416603567544371</v>
      </c>
      <c r="G78" s="1">
        <f>AVERAGE(E77:E79)</f>
        <v>43.495893274840512</v>
      </c>
      <c r="H78" s="1">
        <f>(1*E76+4*E77+6*E78+4*E79+1*E80)/16</f>
        <v>43.489001718902202</v>
      </c>
      <c r="I78" s="1">
        <f t="shared" si="10"/>
        <v>23.426425536715374</v>
      </c>
      <c r="J78" s="1">
        <f>MEDIAN(E77:E79)</f>
        <v>43.993680913093009</v>
      </c>
    </row>
    <row r="79" spans="1:10" x14ac:dyDescent="0.25">
      <c r="A79" s="1">
        <v>73</v>
      </c>
      <c r="B79" s="1">
        <f t="shared" si="6"/>
        <v>43.5</v>
      </c>
      <c r="C79" s="1">
        <f t="shared" si="7"/>
        <v>2.0003096180000277</v>
      </c>
      <c r="D79" s="1">
        <f t="shared" si="8"/>
        <v>-0.87190528574865311</v>
      </c>
      <c r="E79" s="1">
        <f t="shared" si="9"/>
        <v>44.628404332251378</v>
      </c>
      <c r="F79" s="1">
        <v>-1.0898816071858164</v>
      </c>
      <c r="G79" s="1">
        <f>AVERAGE(E78:E80)</f>
        <v>45.457779700658513</v>
      </c>
      <c r="H79" s="1">
        <f>(1*E77+4*E78+6*E79+4*E80+1*E81)/16</f>
        <v>45.347374919060606</v>
      </c>
      <c r="I79" s="1">
        <f t="shared" si="10"/>
        <v>23.808443172670977</v>
      </c>
      <c r="J79" s="1">
        <f>MEDIAN(E78:E80)</f>
        <v>44.628404332251378</v>
      </c>
    </row>
    <row r="80" spans="1:10" x14ac:dyDescent="0.25">
      <c r="A80" s="1">
        <v>74</v>
      </c>
      <c r="B80" s="1">
        <f t="shared" si="6"/>
        <v>44</v>
      </c>
      <c r="C80" s="1">
        <f t="shared" si="7"/>
        <v>3.4642828123701683</v>
      </c>
      <c r="D80" s="1">
        <f t="shared" si="8"/>
        <v>0.2869710442610085</v>
      </c>
      <c r="E80" s="1">
        <f t="shared" si="9"/>
        <v>47.75125385663118</v>
      </c>
      <c r="F80" s="1">
        <v>0.35871380532626063</v>
      </c>
      <c r="G80" s="1">
        <f>AVERAGE(E79:E81)</f>
        <v>47.107299080756661</v>
      </c>
      <c r="H80" s="1">
        <f>(1*E78+4*E79+6*E80+4*E81+1*E82)/16</f>
        <v>47.066118392198909</v>
      </c>
      <c r="I80" s="1">
        <f t="shared" si="10"/>
        <v>24.239845166976565</v>
      </c>
      <c r="J80" s="1">
        <f>MEDIAN(E79:E81)</f>
        <v>47.75125385663118</v>
      </c>
    </row>
    <row r="81" spans="1:10" x14ac:dyDescent="0.25">
      <c r="A81" s="1">
        <v>75</v>
      </c>
      <c r="B81" s="1">
        <f t="shared" si="6"/>
        <v>44.5</v>
      </c>
      <c r="C81" s="1">
        <f t="shared" si="7"/>
        <v>3.9999999831344555</v>
      </c>
      <c r="D81" s="1">
        <f t="shared" si="8"/>
        <v>0.44223907025298104</v>
      </c>
      <c r="E81" s="1">
        <f t="shared" si="9"/>
        <v>48.942239053387439</v>
      </c>
      <c r="F81" s="1">
        <v>0.5527988378162263</v>
      </c>
      <c r="G81" s="1">
        <f>AVERAGE(E80:E82)</f>
        <v>48.322536529921933</v>
      </c>
      <c r="H81" s="1">
        <f>(1*E79+4*E80+6*E81+4*E82+1*E83)/16</f>
        <v>48.075155299730383</v>
      </c>
      <c r="I81" s="1">
        <f t="shared" si="10"/>
        <v>24.684933345110093</v>
      </c>
      <c r="J81" s="1">
        <f>MEDIAN(E80:E82)</f>
        <v>48.274116679747195</v>
      </c>
    </row>
    <row r="82" spans="1:10" x14ac:dyDescent="0.25">
      <c r="A82" s="1">
        <v>76</v>
      </c>
      <c r="B82" s="1">
        <f t="shared" si="6"/>
        <v>45</v>
      </c>
      <c r="C82" s="1">
        <f t="shared" si="7"/>
        <v>3.4639154910813765</v>
      </c>
      <c r="D82" s="1">
        <f t="shared" si="8"/>
        <v>-0.1897988113341853</v>
      </c>
      <c r="E82" s="1">
        <f t="shared" si="9"/>
        <v>48.274116679747195</v>
      </c>
      <c r="F82" s="1">
        <v>-0.23724851416773163</v>
      </c>
      <c r="G82" s="1">
        <f>AVERAGE(E81:E83)</f>
        <v>48.011839910243786</v>
      </c>
      <c r="H82" s="1">
        <f>(1*E80+4*E81+6*E82+4*E83+1*E84)/16</f>
        <v>47.964025381624893</v>
      </c>
      <c r="I82" s="1">
        <f t="shared" si="10"/>
        <v>25.109963675463916</v>
      </c>
      <c r="J82" s="1">
        <f>MEDIAN(E81:E83)</f>
        <v>48.274116679747195</v>
      </c>
    </row>
    <row r="83" spans="1:10" x14ac:dyDescent="0.25">
      <c r="A83" s="1">
        <v>77</v>
      </c>
      <c r="B83" s="1">
        <f t="shared" si="6"/>
        <v>45.5</v>
      </c>
      <c r="C83" s="1">
        <f t="shared" si="7"/>
        <v>1.9996733993148632</v>
      </c>
      <c r="D83" s="1">
        <f t="shared" si="8"/>
        <v>-0.68050940171815455</v>
      </c>
      <c r="E83" s="1">
        <f t="shared" si="9"/>
        <v>46.819163997596711</v>
      </c>
      <c r="F83" s="1">
        <v>-0.85063675214769319</v>
      </c>
      <c r="G83" s="1">
        <f>AVERAGE(E82:E84)</f>
        <v>47.3587068814304</v>
      </c>
      <c r="H83" s="1">
        <f>(1*E81+4*E82+6*E83+4*E84+1*E85)/16</f>
        <v>47.321100572811254</v>
      </c>
      <c r="I83" s="1">
        <f t="shared" si="10"/>
        <v>25.501120438024866</v>
      </c>
      <c r="J83" s="1">
        <f>MEDIAN(E82:E84)</f>
        <v>46.982839966947303</v>
      </c>
    </row>
    <row r="84" spans="1:10" x14ac:dyDescent="0.25">
      <c r="A84" s="1">
        <v>78</v>
      </c>
      <c r="B84" s="1">
        <f t="shared" si="6"/>
        <v>46</v>
      </c>
      <c r="C84" s="1">
        <f t="shared" si="7"/>
        <v>-3.8201333014864351E-4</v>
      </c>
      <c r="D84" s="1">
        <f t="shared" si="8"/>
        <v>0.98322198027744889</v>
      </c>
      <c r="E84" s="1">
        <f t="shared" si="9"/>
        <v>46.982839966947303</v>
      </c>
      <c r="F84" s="1">
        <v>1.2290274753468111</v>
      </c>
      <c r="G84" s="1">
        <f>AVERAGE(E83:E85)</f>
        <v>46.684854501259501</v>
      </c>
      <c r="H84" s="1">
        <f>(1*E82+4*E83+6*E84+4*E85+1*E86)/16</f>
        <v>46.631340683817186</v>
      </c>
      <c r="I84" s="1">
        <f t="shared" si="10"/>
        <v>25.888178447554999</v>
      </c>
      <c r="J84" s="1">
        <f>MEDIAN(E83:E85)</f>
        <v>46.819163997596711</v>
      </c>
    </row>
    <row r="85" spans="1:10" x14ac:dyDescent="0.25">
      <c r="A85" s="1">
        <v>79</v>
      </c>
      <c r="B85" s="1">
        <f t="shared" si="6"/>
        <v>46.5</v>
      </c>
      <c r="C85" s="1">
        <f t="shared" si="7"/>
        <v>-2.0003350653441356</v>
      </c>
      <c r="D85" s="1">
        <f t="shared" si="8"/>
        <v>1.7528946045786142</v>
      </c>
      <c r="E85" s="1">
        <f t="shared" si="9"/>
        <v>46.252559539234475</v>
      </c>
      <c r="F85" s="1">
        <v>2.1911182557232678</v>
      </c>
      <c r="G85" s="1">
        <f>AVERAGE(E84:E86)</f>
        <v>45.626266606166986</v>
      </c>
      <c r="H85" s="1">
        <f>(1*E83+4*E84+6*E85+4*E86+1*E87)/16</f>
        <v>45.66682327375905</v>
      </c>
      <c r="I85" s="1">
        <f t="shared" si="10"/>
        <v>26.255104232990664</v>
      </c>
      <c r="J85" s="1">
        <f>MEDIAN(E84:E86)</f>
        <v>46.252559539234475</v>
      </c>
    </row>
    <row r="86" spans="1:10" x14ac:dyDescent="0.25">
      <c r="A86" s="1">
        <v>80</v>
      </c>
      <c r="B86" s="1">
        <f t="shared" si="6"/>
        <v>47</v>
      </c>
      <c r="C86" s="1">
        <f t="shared" si="7"/>
        <v>-3.464297502791247</v>
      </c>
      <c r="D86" s="1">
        <f t="shared" si="8"/>
        <v>0.1076978151104413</v>
      </c>
      <c r="E86" s="1">
        <f t="shared" si="9"/>
        <v>43.643400312319194</v>
      </c>
      <c r="F86" s="1">
        <v>0.13462226888805162</v>
      </c>
      <c r="G86" s="1">
        <f>AVERAGE(E85:E87)</f>
        <v>44.575216627209642</v>
      </c>
      <c r="H86" s="1">
        <f>(1*E84+4*E85+6*E86+4*E87+1*E88)/16</f>
        <v>44.580594585884796</v>
      </c>
      <c r="I86" s="1">
        <f t="shared" si="10"/>
        <v>26.568406865050637</v>
      </c>
      <c r="J86" s="1">
        <f>MEDIAN(E85:E87)</f>
        <v>43.829690030075255</v>
      </c>
    </row>
    <row r="87" spans="1:10" x14ac:dyDescent="0.25">
      <c r="A87" s="1">
        <v>81</v>
      </c>
      <c r="B87" s="1">
        <f t="shared" si="6"/>
        <v>47.5</v>
      </c>
      <c r="C87" s="1">
        <f t="shared" si="7"/>
        <v>-3.9999999803280288</v>
      </c>
      <c r="D87" s="1">
        <f t="shared" si="8"/>
        <v>0.32969001040328294</v>
      </c>
      <c r="E87" s="1">
        <f t="shared" si="9"/>
        <v>43.829690030075255</v>
      </c>
      <c r="F87" s="1">
        <v>0.41211251300410368</v>
      </c>
      <c r="G87" s="1">
        <f>AVERAGE(E86:E88)</f>
        <v>43.863454532816583</v>
      </c>
      <c r="H87" s="1">
        <f>(1*E85+4*E86+6*E87+4*E88+1*E89)/16</f>
        <v>44.222308587348003</v>
      </c>
      <c r="I87" s="1">
        <f t="shared" si="10"/>
        <v>26.87942097613216</v>
      </c>
      <c r="J87" s="1">
        <f>MEDIAN(E86:E88)</f>
        <v>43.829690030075255</v>
      </c>
    </row>
    <row r="88" spans="1:10" x14ac:dyDescent="0.25">
      <c r="A88" s="1">
        <v>82</v>
      </c>
      <c r="B88" s="1">
        <f t="shared" si="6"/>
        <v>48</v>
      </c>
      <c r="C88" s="1">
        <f t="shared" si="7"/>
        <v>-3.4639007957994417</v>
      </c>
      <c r="D88" s="1">
        <f t="shared" si="8"/>
        <v>-0.41882594814524055</v>
      </c>
      <c r="E88" s="1">
        <f t="shared" si="9"/>
        <v>44.11727325605532</v>
      </c>
      <c r="F88" s="1">
        <v>-0.52353243518155068</v>
      </c>
      <c r="G88" s="1">
        <f>AVERAGE(E87:E89)</f>
        <v>45.076835563504851</v>
      </c>
      <c r="H88" s="1">
        <f>(1*E86+4*E87+6*E88+4*E89+1*E90)/16</f>
        <v>45.093326220052482</v>
      </c>
      <c r="I88" s="1">
        <f t="shared" si="10"/>
        <v>27.190012909103746</v>
      </c>
      <c r="J88" s="1">
        <f>MEDIAN(E87:E89)</f>
        <v>44.11727325605532</v>
      </c>
    </row>
    <row r="89" spans="1:10" x14ac:dyDescent="0.25">
      <c r="A89" s="1">
        <v>83</v>
      </c>
      <c r="B89" s="1">
        <f t="shared" si="6"/>
        <v>48.5</v>
      </c>
      <c r="C89" s="1">
        <f t="shared" si="7"/>
        <v>-1.9996479491643406</v>
      </c>
      <c r="D89" s="1">
        <f t="shared" si="8"/>
        <v>0.78319135354831815</v>
      </c>
      <c r="E89" s="1">
        <f t="shared" si="9"/>
        <v>47.283543404383977</v>
      </c>
      <c r="F89" s="1">
        <v>0.97898919193539768</v>
      </c>
      <c r="G89" s="1">
        <f>AVERAGE(E88:E90)</f>
        <v>46.698020864930321</v>
      </c>
      <c r="H89" s="1">
        <f>(1*E87+4*E88+6*E89+4*E90+1*E91)/16</f>
        <v>46.887138797766973</v>
      </c>
      <c r="I89" s="1">
        <f t="shared" si="10"/>
        <v>27.552058503613299</v>
      </c>
      <c r="J89" s="1">
        <f>MEDIAN(E88:E90)</f>
        <v>47.283543404383977</v>
      </c>
    </row>
    <row r="90" spans="1:10" x14ac:dyDescent="0.25">
      <c r="A90" s="1">
        <v>84</v>
      </c>
      <c r="B90" s="1">
        <f t="shared" si="6"/>
        <v>49</v>
      </c>
      <c r="C90" s="1">
        <f t="shared" si="7"/>
        <v>4.113989708468847E-4</v>
      </c>
      <c r="D90" s="1">
        <f t="shared" si="8"/>
        <v>-0.3071654646191746</v>
      </c>
      <c r="E90" s="1">
        <f t="shared" si="9"/>
        <v>48.693245934351673</v>
      </c>
      <c r="F90" s="1">
        <v>-0.38395683077396825</v>
      </c>
      <c r="G90" s="1">
        <f>AVERAGE(E89:E91)</f>
        <v>49.132660961666694</v>
      </c>
      <c r="H90" s="1">
        <f>(1*E88+4*E89+6*E90+4*E91+1*E92)/16</f>
        <v>49.049508756250788</v>
      </c>
      <c r="I90" s="1">
        <f t="shared" si="10"/>
        <v>27.932980799662637</v>
      </c>
      <c r="J90" s="1">
        <f>MEDIAN(E89:E91)</f>
        <v>48.693245934351673</v>
      </c>
    </row>
    <row r="91" spans="1:10" x14ac:dyDescent="0.25">
      <c r="A91" s="1">
        <v>85</v>
      </c>
      <c r="B91" s="1">
        <f t="shared" si="6"/>
        <v>49.5</v>
      </c>
      <c r="C91" s="1">
        <f t="shared" si="7"/>
        <v>2.0003605125802859</v>
      </c>
      <c r="D91" s="1">
        <f t="shared" si="8"/>
        <v>-7.9166966315824538E-2</v>
      </c>
      <c r="E91" s="1">
        <f t="shared" si="9"/>
        <v>51.421193546264462</v>
      </c>
      <c r="F91" s="1">
        <v>-9.8958707894780673E-2</v>
      </c>
      <c r="G91" s="1">
        <f>AVERAGE(E90:E92)</f>
        <v>51.270294305289895</v>
      </c>
      <c r="H91" s="1">
        <f>(1*E89+4*E90+6*E91+4*E92+1*E93)/16</f>
        <v>51.298981525113341</v>
      </c>
      <c r="I91" s="1">
        <f t="shared" si="10"/>
        <v>28.35619184014195</v>
      </c>
      <c r="J91" s="1">
        <f>MEDIAN(E90:E92)</f>
        <v>51.421193546264462</v>
      </c>
    </row>
    <row r="92" spans="1:10" x14ac:dyDescent="0.25">
      <c r="A92" s="1">
        <v>86</v>
      </c>
      <c r="B92" s="1">
        <f t="shared" si="6"/>
        <v>50</v>
      </c>
      <c r="C92" s="1">
        <f t="shared" si="7"/>
        <v>3.4643121930253442</v>
      </c>
      <c r="D92" s="1">
        <f t="shared" si="8"/>
        <v>0.23213124222820625</v>
      </c>
      <c r="E92" s="1">
        <f t="shared" si="9"/>
        <v>53.696443435253549</v>
      </c>
      <c r="F92" s="1">
        <v>0.29016405278525781</v>
      </c>
      <c r="G92" s="1">
        <f>AVERAGE(E91:E93)</f>
        <v>53.51062640764664</v>
      </c>
      <c r="H92" s="1">
        <f>(1*E90+4*E91+6*E92+4*E93+1*E94)/16</f>
        <v>53.363057836130103</v>
      </c>
      <c r="I92" s="1">
        <f t="shared" si="10"/>
        <v>28.812772949963779</v>
      </c>
      <c r="J92" s="1">
        <f>MEDIAN(E91:E93)</f>
        <v>53.696443435253549</v>
      </c>
    </row>
    <row r="93" spans="1:10" x14ac:dyDescent="0.25">
      <c r="A93" s="1">
        <v>87</v>
      </c>
      <c r="B93" s="1">
        <f t="shared" si="6"/>
        <v>50.5</v>
      </c>
      <c r="C93" s="1">
        <f t="shared" si="7"/>
        <v>3.9999999773057233</v>
      </c>
      <c r="D93" s="1">
        <f t="shared" si="8"/>
        <v>0.91424226411618292</v>
      </c>
      <c r="E93" s="1">
        <f t="shared" si="9"/>
        <v>55.414242241421903</v>
      </c>
      <c r="F93" s="1">
        <v>1.1428028301452287</v>
      </c>
      <c r="G93" s="1">
        <f>AVERAGE(E92:E94)</f>
        <v>54.901987119379555</v>
      </c>
      <c r="H93" s="1">
        <f>(1*E91+4*E92+6*E93+4*E94+1*E95)/16</f>
        <v>54.711129412469418</v>
      </c>
      <c r="I93" s="1">
        <f t="shared" si="10"/>
        <v>29.292078702963025</v>
      </c>
      <c r="J93" s="1">
        <f>MEDIAN(E92:E94)</f>
        <v>55.414242241421903</v>
      </c>
    </row>
    <row r="94" spans="1:10" x14ac:dyDescent="0.25">
      <c r="A94" s="1">
        <v>88</v>
      </c>
      <c r="B94" s="1">
        <f t="shared" si="6"/>
        <v>51</v>
      </c>
      <c r="C94" s="1">
        <f t="shared" si="7"/>
        <v>3.463886100330547</v>
      </c>
      <c r="D94" s="1">
        <f t="shared" si="8"/>
        <v>1.1313895811326802</v>
      </c>
      <c r="E94" s="1">
        <f t="shared" si="9"/>
        <v>55.595275681463228</v>
      </c>
      <c r="F94" s="1">
        <v>1.4142369764158502</v>
      </c>
      <c r="G94" s="1">
        <f>AVERAGE(E93:E95)</f>
        <v>55.104688353577636</v>
      </c>
      <c r="H94" s="1">
        <f>(1*E92+4*E93+6*E94+4*E95+1*E96)/16</f>
        <v>54.918513747166017</v>
      </c>
      <c r="I94" s="1">
        <f t="shared" si="10"/>
        <v>29.766010180053115</v>
      </c>
      <c r="J94" s="1">
        <f>MEDIAN(E93:E95)</f>
        <v>55.414242241421903</v>
      </c>
    </row>
    <row r="95" spans="1:10" x14ac:dyDescent="0.25">
      <c r="A95" s="1">
        <v>89</v>
      </c>
      <c r="B95" s="1">
        <f t="shared" si="6"/>
        <v>51.5</v>
      </c>
      <c r="C95" s="1">
        <f t="shared" si="7"/>
        <v>1.9996224989058973</v>
      </c>
      <c r="D95" s="1">
        <f t="shared" si="8"/>
        <v>0.80492463894188404</v>
      </c>
      <c r="E95" s="1">
        <f t="shared" si="9"/>
        <v>54.304547137847784</v>
      </c>
      <c r="F95" s="1">
        <v>1.0061557986773551</v>
      </c>
      <c r="G95" s="1">
        <f>AVERAGE(E94:E96)</f>
        <v>54.150929244285173</v>
      </c>
      <c r="H95" s="1">
        <f>(1*E93+4*E94+6*E95+4*E96+1*E97)/16</f>
        <v>54.076947143942725</v>
      </c>
      <c r="I95" s="1">
        <f t="shared" si="10"/>
        <v>30.208145981094461</v>
      </c>
      <c r="J95" s="1">
        <f>MEDIAN(E94:E96)</f>
        <v>54.304547137847784</v>
      </c>
    </row>
    <row r="96" spans="1:10" x14ac:dyDescent="0.25">
      <c r="A96" s="1">
        <v>90</v>
      </c>
      <c r="B96" s="1">
        <f t="shared" si="6"/>
        <v>52</v>
      </c>
      <c r="C96" s="1">
        <f t="shared" si="7"/>
        <v>-4.4078461149450114E-4</v>
      </c>
      <c r="D96" s="1">
        <f t="shared" si="8"/>
        <v>0.55340569815598428</v>
      </c>
      <c r="E96" s="1">
        <f t="shared" si="9"/>
        <v>52.552964913544493</v>
      </c>
      <c r="F96" s="1">
        <v>0.69175712269498035</v>
      </c>
      <c r="G96" s="1">
        <f>AVERAGE(E95:E97)</f>
        <v>52.751392968645483</v>
      </c>
      <c r="H96" s="1">
        <f>(1*E94+4*E95+6*E96+4*E97+1*E98)/16</f>
        <v>52.750550141861865</v>
      </c>
      <c r="I96" s="1">
        <f t="shared" si="10"/>
        <v>30.610755331228695</v>
      </c>
      <c r="J96" s="1">
        <f>MEDIAN(E95:E97)</f>
        <v>52.552964913544493</v>
      </c>
    </row>
    <row r="97" spans="1:10" x14ac:dyDescent="0.25">
      <c r="A97" s="1">
        <v>91</v>
      </c>
      <c r="B97" s="1">
        <f t="shared" si="6"/>
        <v>52.5</v>
      </c>
      <c r="C97" s="1">
        <f t="shared" si="7"/>
        <v>-2.0003859597085021</v>
      </c>
      <c r="D97" s="1">
        <f t="shared" si="8"/>
        <v>0.89705281425267458</v>
      </c>
      <c r="E97" s="1">
        <f t="shared" si="9"/>
        <v>51.396666854544172</v>
      </c>
      <c r="F97" s="1">
        <v>1.1213160178158432</v>
      </c>
      <c r="G97" s="1">
        <f>AVERAGE(E96:E98)</f>
        <v>51.413504301860115</v>
      </c>
      <c r="H97" s="1">
        <f>(1*E95+4*E96+6*E97+4*E98+1*E99)/16</f>
        <v>51.605498467147243</v>
      </c>
      <c r="I97" s="1">
        <f t="shared" si="10"/>
        <v>30.985276259576718</v>
      </c>
      <c r="J97" s="1">
        <f>MEDIAN(E96:E98)</f>
        <v>51.396666854544172</v>
      </c>
    </row>
    <row r="98" spans="1:10" x14ac:dyDescent="0.25">
      <c r="A98" s="1">
        <v>92</v>
      </c>
      <c r="B98" s="1">
        <f t="shared" si="6"/>
        <v>53</v>
      </c>
      <c r="C98" s="1">
        <f t="shared" si="7"/>
        <v>-3.4643268830724878</v>
      </c>
      <c r="D98" s="1">
        <f t="shared" si="8"/>
        <v>0.75520802056416869</v>
      </c>
      <c r="E98" s="1">
        <f t="shared" si="9"/>
        <v>50.290881137491681</v>
      </c>
      <c r="F98" s="1">
        <v>0.94401002570521086</v>
      </c>
      <c r="G98" s="1">
        <f>AVERAGE(E97:E99)</f>
        <v>51.105196999044743</v>
      </c>
      <c r="H98" s="1">
        <f>(1*E96+4*E97+6*E98+4*E99+1*E100)/16</f>
        <v>50.967654616228479</v>
      </c>
      <c r="I98" s="1">
        <f t="shared" si="10"/>
        <v>31.333124996115725</v>
      </c>
      <c r="J98" s="1">
        <f>MEDIAN(E97:E99)</f>
        <v>51.396666854544172</v>
      </c>
    </row>
    <row r="99" spans="1:10" x14ac:dyDescent="0.25">
      <c r="A99" s="1">
        <v>93</v>
      </c>
      <c r="B99" s="1">
        <f t="shared" si="6"/>
        <v>53.5</v>
      </c>
      <c r="C99" s="1">
        <f t="shared" si="7"/>
        <v>-3.9999999740675385</v>
      </c>
      <c r="D99" s="1">
        <f t="shared" si="8"/>
        <v>2.1280429791659117</v>
      </c>
      <c r="E99" s="1">
        <f t="shared" si="9"/>
        <v>51.628043005098377</v>
      </c>
      <c r="F99" s="1">
        <v>2.6600537239573896</v>
      </c>
      <c r="G99" s="1">
        <f>AVERAGE(E98:E100)</f>
        <v>50.334768941726971</v>
      </c>
      <c r="H99" s="1">
        <f>(1*E97+4*E98+6*E99+4*E100+1*E101)/16</f>
        <v>50.732209066641857</v>
      </c>
      <c r="I99" s="1">
        <f t="shared" si="10"/>
        <v>31.698799194475772</v>
      </c>
      <c r="J99" s="1">
        <f>MEDIAN(E98:E100)</f>
        <v>50.290881137491681</v>
      </c>
    </row>
    <row r="100" spans="1:10" x14ac:dyDescent="0.25">
      <c r="A100" s="1">
        <v>94</v>
      </c>
      <c r="B100" s="1">
        <f t="shared" si="6"/>
        <v>54</v>
      </c>
      <c r="C100" s="1">
        <f t="shared" si="7"/>
        <v>-3.4638714046747214</v>
      </c>
      <c r="D100" s="1">
        <f t="shared" si="8"/>
        <v>-1.4507459127344191</v>
      </c>
      <c r="E100" s="1">
        <f t="shared" si="9"/>
        <v>49.085382682590861</v>
      </c>
      <c r="F100" s="1">
        <v>-1.8134323909180239</v>
      </c>
      <c r="G100" s="1">
        <f>AVERAGE(E99:E101)</f>
        <v>51.252930196164812</v>
      </c>
      <c r="H100" s="1">
        <f>(1*E98+4*E99+6*E100+4*E101+1*E102)/16</f>
        <v>51.113040603530479</v>
      </c>
      <c r="I100" s="1">
        <f t="shared" si="10"/>
        <v>32.012070969036401</v>
      </c>
      <c r="J100" s="1">
        <f>MEDIAN(E99:E101)</f>
        <v>51.628043005098377</v>
      </c>
    </row>
    <row r="101" spans="1:10" x14ac:dyDescent="0.25">
      <c r="A101" s="1">
        <v>95</v>
      </c>
      <c r="B101" s="1">
        <f t="shared" si="6"/>
        <v>54.5</v>
      </c>
      <c r="C101" s="1">
        <f t="shared" si="7"/>
        <v>-1.9995970485395103</v>
      </c>
      <c r="D101" s="1">
        <f t="shared" si="8"/>
        <v>0.54496194934472442</v>
      </c>
      <c r="E101" s="1">
        <f t="shared" si="9"/>
        <v>53.045364900805211</v>
      </c>
      <c r="F101" s="1">
        <v>0.68120243668090552</v>
      </c>
      <c r="G101" s="1">
        <f>AVERAGE(E100:E102)</f>
        <v>52.147529461077539</v>
      </c>
      <c r="H101" s="1">
        <f>(1*E99+4*E100+6*E101+4*E102+1*E103)/16</f>
        <v>52.535432336645435</v>
      </c>
      <c r="I101" s="1">
        <f t="shared" si="10"/>
        <v>32.391049238077279</v>
      </c>
      <c r="J101" s="1">
        <f>MEDIAN(E100:E102)</f>
        <v>53.045364900805211</v>
      </c>
    </row>
    <row r="102" spans="1:10" x14ac:dyDescent="0.25">
      <c r="A102" s="1">
        <v>96</v>
      </c>
      <c r="B102" s="1">
        <f t="shared" si="6"/>
        <v>55</v>
      </c>
      <c r="C102" s="1">
        <f t="shared" si="7"/>
        <v>4.7017025211832855E-4</v>
      </c>
      <c r="D102" s="1">
        <f t="shared" si="8"/>
        <v>-0.68862937041558325</v>
      </c>
      <c r="E102" s="1">
        <f t="shared" si="9"/>
        <v>54.311840799836538</v>
      </c>
      <c r="F102" s="1">
        <v>-0.86078671301947907</v>
      </c>
      <c r="G102" s="1">
        <f>AVERAGE(E101:E103)</f>
        <v>54.81166558244314</v>
      </c>
      <c r="H102" s="1">
        <f>(1*E100+4*E101+6*E102+4*E103+1*E104)/16</f>
        <v>54.688216478637912</v>
      </c>
      <c r="I102" s="1">
        <f t="shared" si="10"/>
        <v>32.786018455406278</v>
      </c>
      <c r="J102" s="1">
        <f>MEDIAN(E101:E103)</f>
        <v>54.311840799836538</v>
      </c>
    </row>
    <row r="103" spans="1:10" x14ac:dyDescent="0.25">
      <c r="A103" s="1">
        <v>97</v>
      </c>
      <c r="B103" s="1">
        <f t="shared" ref="B103:B116" si="11">$B$2 + $C$2*A103</f>
        <v>55.5</v>
      </c>
      <c r="C103" s="1">
        <f t="shared" si="7"/>
        <v>2.0004114067287335</v>
      </c>
      <c r="D103" s="1">
        <f t="shared" si="8"/>
        <v>-0.4226203600410372</v>
      </c>
      <c r="E103" s="1">
        <f t="shared" si="9"/>
        <v>57.077791046687693</v>
      </c>
      <c r="F103" s="1">
        <v>-0.5282754500512965</v>
      </c>
      <c r="G103" s="1">
        <f>AVERAGE(E102:E104)</f>
        <v>56.984014744383018</v>
      </c>
      <c r="H103" s="1">
        <f>(1*E101+4*E102+6*E103+4*E104+1*E105)/16</f>
        <v>56.88261174720396</v>
      </c>
      <c r="I103" s="1">
        <f t="shared" si="10"/>
        <v>33.223708051645588</v>
      </c>
      <c r="J103" s="1">
        <f>MEDIAN(E102:E104)</f>
        <v>57.077791046687693</v>
      </c>
    </row>
    <row r="104" spans="1:10" x14ac:dyDescent="0.25">
      <c r="A104" s="1">
        <v>98</v>
      </c>
      <c r="B104" s="1">
        <f t="shared" si="11"/>
        <v>56</v>
      </c>
      <c r="C104" s="1">
        <f t="shared" si="7"/>
        <v>3.4643415729326481</v>
      </c>
      <c r="D104" s="1">
        <f t="shared" si="8"/>
        <v>9.8070813692174852E-2</v>
      </c>
      <c r="E104" s="1">
        <f t="shared" si="9"/>
        <v>59.562412386624821</v>
      </c>
      <c r="F104" s="1">
        <v>0.12258851711521856</v>
      </c>
      <c r="G104" s="1">
        <f>AVERAGE(E103:E105)</f>
        <v>58.584289153933049</v>
      </c>
      <c r="H104" s="1">
        <f>(1*E102+4*E103+6*E104+4*E105+1*E106)/16</f>
        <v>58.562851594884812</v>
      </c>
      <c r="I104" s="1">
        <f t="shared" si="10"/>
        <v>33.69827930092449</v>
      </c>
      <c r="J104" s="1">
        <f>MEDIAN(E103:E105)</f>
        <v>59.112664028486662</v>
      </c>
    </row>
    <row r="105" spans="1:10" x14ac:dyDescent="0.25">
      <c r="A105" s="1">
        <v>99</v>
      </c>
      <c r="B105" s="1">
        <f t="shared" si="11"/>
        <v>56.5</v>
      </c>
      <c r="C105" s="1">
        <f t="shared" si="7"/>
        <v>3.9999999706134752</v>
      </c>
      <c r="D105" s="1">
        <f t="shared" si="8"/>
        <v>-1.3873359421268106</v>
      </c>
      <c r="E105" s="1">
        <f t="shared" si="9"/>
        <v>59.112664028486662</v>
      </c>
      <c r="F105" s="1">
        <v>-1.7341699276585132</v>
      </c>
      <c r="G105" s="1">
        <f>AVERAGE(E104:E106)</f>
        <v>59.744188837661888</v>
      </c>
      <c r="H105" s="1">
        <f>(1*E103+4*E104+6*E105+4*E106+1*E107)/16</f>
        <v>59.476331585318114</v>
      </c>
      <c r="I105" s="1">
        <f t="shared" si="10"/>
        <v>34.156196142862548</v>
      </c>
      <c r="J105" s="1">
        <f>MEDIAN(E104:E106)</f>
        <v>59.562412386624821</v>
      </c>
    </row>
    <row r="106" spans="1:10" x14ac:dyDescent="0.25">
      <c r="A106" s="1">
        <v>100</v>
      </c>
      <c r="B106" s="1">
        <f t="shared" si="11"/>
        <v>57</v>
      </c>
      <c r="C106" s="1">
        <f t="shared" si="7"/>
        <v>3.4638567088319516</v>
      </c>
      <c r="D106" s="1">
        <f t="shared" si="8"/>
        <v>9.3633389042224735E-2</v>
      </c>
      <c r="E106" s="1">
        <f t="shared" si="9"/>
        <v>60.557490097874179</v>
      </c>
      <c r="F106" s="1">
        <v>0.11704173630278092</v>
      </c>
      <c r="G106" s="1">
        <f>AVERAGE(E105:E107)</f>
        <v>59.686024778615682</v>
      </c>
      <c r="H106" s="1">
        <f>(1*E104+4*E105+6*E106+4*E107+1*E108)/16</f>
        <v>59.752954614500396</v>
      </c>
      <c r="I106" s="1">
        <f t="shared" si="10"/>
        <v>34.631895133042939</v>
      </c>
      <c r="J106" s="1">
        <f>MEDIAN(E105:E107)</f>
        <v>59.387920209486182</v>
      </c>
    </row>
    <row r="107" spans="1:10" x14ac:dyDescent="0.25">
      <c r="A107" s="1">
        <v>101</v>
      </c>
      <c r="B107" s="1">
        <f t="shared" si="11"/>
        <v>57.5</v>
      </c>
      <c r="C107" s="1">
        <f t="shared" si="7"/>
        <v>1.9995715980652302</v>
      </c>
      <c r="D107" s="1">
        <f t="shared" si="8"/>
        <v>-0.11165138857904822</v>
      </c>
      <c r="E107" s="1">
        <f t="shared" si="9"/>
        <v>59.387920209486182</v>
      </c>
      <c r="F107" s="1">
        <v>-0.13956423572381027</v>
      </c>
      <c r="G107" s="1">
        <f>AVERAGE(E106:E108)</f>
        <v>59.694331404535113</v>
      </c>
      <c r="H107" s="1">
        <f>(1*E105+4*E106+6*E107+4*E108+1*E109)/16</f>
        <v>59.38435268891196</v>
      </c>
      <c r="I107" s="1">
        <f t="shared" si="10"/>
        <v>35.0779496389248</v>
      </c>
      <c r="J107" s="1">
        <f>MEDIAN(E106:E108)</f>
        <v>59.387920209486182</v>
      </c>
    </row>
    <row r="108" spans="1:10" x14ac:dyDescent="0.25">
      <c r="A108" s="1">
        <v>102</v>
      </c>
      <c r="B108" s="1">
        <f t="shared" si="11"/>
        <v>58</v>
      </c>
      <c r="C108" s="1">
        <f t="shared" si="7"/>
        <v>-4.9955589274520268E-4</v>
      </c>
      <c r="D108" s="1">
        <f t="shared" si="8"/>
        <v>1.1380834621377289</v>
      </c>
      <c r="E108" s="1">
        <f t="shared" si="9"/>
        <v>59.137583906244984</v>
      </c>
      <c r="F108" s="1">
        <v>1.4226043276721612</v>
      </c>
      <c r="G108" s="1">
        <f>AVERAGE(E107:E109)</f>
        <v>58.151555278814044</v>
      </c>
      <c r="H108" s="1">
        <f>(1*E106+4*E107+6*E108+4*E109+1*E110)/16</f>
        <v>58.295063653963652</v>
      </c>
      <c r="I108" s="1">
        <f t="shared" si="10"/>
        <v>35.5114565626603</v>
      </c>
      <c r="J108" s="1">
        <f>MEDIAN(E107:E109)</f>
        <v>59.137583906244984</v>
      </c>
    </row>
    <row r="109" spans="1:10" x14ac:dyDescent="0.25">
      <c r="A109" s="1">
        <v>103</v>
      </c>
      <c r="B109" s="1">
        <f t="shared" si="11"/>
        <v>58.5</v>
      </c>
      <c r="C109" s="1">
        <f t="shared" si="7"/>
        <v>-2.0004368536410277</v>
      </c>
      <c r="D109" s="1">
        <f t="shared" si="8"/>
        <v>-0.57040142564801499</v>
      </c>
      <c r="E109" s="1">
        <f t="shared" si="9"/>
        <v>55.929161720710958</v>
      </c>
      <c r="F109" s="1">
        <v>-0.71300178206001874</v>
      </c>
      <c r="G109" s="1">
        <f>AVERAGE(E108:E110)</f>
        <v>57.045480944747254</v>
      </c>
      <c r="H109" s="1">
        <f>(1*E107+4*E108+6*E109+4*E110+1*E111)/16</f>
        <v>56.919878535094064</v>
      </c>
      <c r="I109" s="1">
        <f t="shared" si="10"/>
        <v>35.879343142084636</v>
      </c>
      <c r="J109" s="1">
        <f>MEDIAN(E108:E110)</f>
        <v>56.06969720728582</v>
      </c>
    </row>
    <row r="110" spans="1:10" x14ac:dyDescent="0.25">
      <c r="A110" s="1">
        <v>104</v>
      </c>
      <c r="B110" s="1">
        <f t="shared" si="11"/>
        <v>59</v>
      </c>
      <c r="C110" s="1">
        <f t="shared" si="7"/>
        <v>-3.4643562626058388</v>
      </c>
      <c r="D110" s="1">
        <f t="shared" si="8"/>
        <v>0.53405346989165992</v>
      </c>
      <c r="E110" s="1">
        <f t="shared" si="9"/>
        <v>56.06969720728582</v>
      </c>
      <c r="F110" s="1">
        <v>0.66756683736457489</v>
      </c>
      <c r="G110" s="1">
        <f>AVERAGE(E109:E111)</f>
        <v>55.641633500542206</v>
      </c>
      <c r="H110" s="1">
        <f>(1*E108+4*E109+6*E110+4*E111+1*E112)/16</f>
        <v>55.890392820762244</v>
      </c>
      <c r="I110" s="1">
        <f t="shared" si="10"/>
        <v>36.243133305421594</v>
      </c>
      <c r="J110" s="1">
        <f>MEDIAN(E109:E111)</f>
        <v>55.929161720710958</v>
      </c>
    </row>
    <row r="111" spans="1:10" x14ac:dyDescent="0.25">
      <c r="A111" s="1">
        <v>105</v>
      </c>
      <c r="B111" s="1">
        <f t="shared" si="11"/>
        <v>59.5</v>
      </c>
      <c r="C111" s="1">
        <f t="shared" si="7"/>
        <v>-3.9999999669435327</v>
      </c>
      <c r="D111" s="1">
        <f t="shared" si="8"/>
        <v>-0.57395845942664891</v>
      </c>
      <c r="E111" s="1">
        <f t="shared" si="9"/>
        <v>54.926041573629817</v>
      </c>
      <c r="F111" s="1">
        <v>-0.71744807428331114</v>
      </c>
      <c r="G111" s="1">
        <f>AVERAGE(E110:E112)</f>
        <v>55.421814528596222</v>
      </c>
      <c r="H111" s="1">
        <f>(1*E109+4*E110+6*E111+4*E112+1*E113)/16</f>
        <v>55.544151889544452</v>
      </c>
      <c r="I111" s="1">
        <f t="shared" si="10"/>
        <v>36.579762283227147</v>
      </c>
      <c r="J111" s="1">
        <f>MEDIAN(E110:E112)</f>
        <v>55.269704804873008</v>
      </c>
    </row>
    <row r="112" spans="1:10" x14ac:dyDescent="0.25">
      <c r="A112" s="1">
        <v>106</v>
      </c>
      <c r="B112" s="1">
        <f t="shared" si="11"/>
        <v>60</v>
      </c>
      <c r="C112" s="1">
        <f t="shared" si="7"/>
        <v>-3.4638420128022243</v>
      </c>
      <c r="D112" s="1">
        <f t="shared" si="8"/>
        <v>-1.2664531823247671</v>
      </c>
      <c r="E112" s="1">
        <f t="shared" si="9"/>
        <v>55.269704804873008</v>
      </c>
      <c r="F112" s="1">
        <v>-1.5830664779059589</v>
      </c>
      <c r="G112" s="1">
        <f>AVERAGE(E111:E113)</f>
        <v>56.019719133362933</v>
      </c>
      <c r="H112" s="1">
        <f>(1*E110+4*E111+6*E112+4*E113+1*E114)/16</f>
        <v>56.331562517069692</v>
      </c>
      <c r="I112" s="1">
        <f t="shared" si="10"/>
        <v>36.916518004337881</v>
      </c>
      <c r="J112" s="1">
        <f>MEDIAN(E111:E113)</f>
        <v>55.269704804873008</v>
      </c>
    </row>
    <row r="113" spans="1:10" x14ac:dyDescent="0.25">
      <c r="A113" s="1">
        <v>107</v>
      </c>
      <c r="B113" s="1">
        <f t="shared" si="11"/>
        <v>60.5</v>
      </c>
      <c r="C113" s="1">
        <f t="shared" si="7"/>
        <v>-1.9995461474830092</v>
      </c>
      <c r="D113" s="1">
        <f t="shared" si="8"/>
        <v>-0.63704283093102276</v>
      </c>
      <c r="E113" s="1">
        <f t="shared" si="9"/>
        <v>57.863411021585968</v>
      </c>
      <c r="F113" s="1">
        <v>-0.79630353866377845</v>
      </c>
      <c r="G113" s="1">
        <f>AVERAGE(E112:E114)</f>
        <v>58.530793227395691</v>
      </c>
      <c r="H113" s="1">
        <f>(1*E111+4*E112+6*E113+4*E114+1*E115)/16</f>
        <v>58.510246808858049</v>
      </c>
      <c r="I113" s="1">
        <f t="shared" si="10"/>
        <v>37.293939500144155</v>
      </c>
      <c r="J113" s="1">
        <f>MEDIAN(E112:E114)</f>
        <v>57.863411021585968</v>
      </c>
    </row>
    <row r="114" spans="1:10" x14ac:dyDescent="0.25">
      <c r="A114" s="1">
        <v>108</v>
      </c>
      <c r="B114" s="1">
        <f t="shared" si="11"/>
        <v>61</v>
      </c>
      <c r="C114" s="1">
        <f t="shared" si="7"/>
        <v>5.289415333166942E-4</v>
      </c>
      <c r="D114" s="1">
        <f t="shared" si="8"/>
        <v>1.4587349141947925</v>
      </c>
      <c r="E114" s="1">
        <f t="shared" si="9"/>
        <v>62.459263855728111</v>
      </c>
      <c r="F114" s="1">
        <v>1.8234186427434906</v>
      </c>
      <c r="G114" s="1">
        <f>AVERAGE(E113:E115)</f>
        <v>61.154747157830933</v>
      </c>
      <c r="H114" s="1">
        <f>(1*E112+4*E113+6*E114+4*E115+1*E116)/16</f>
        <v>61.12570878439174</v>
      </c>
      <c r="I114" s="1">
        <f t="shared" si="10"/>
        <v>37.747368767812333</v>
      </c>
      <c r="J114" s="1">
        <f>MEDIAN(E113:E115)</f>
        <v>62.459263855728111</v>
      </c>
    </row>
    <row r="115" spans="1:10" x14ac:dyDescent="0.25">
      <c r="A115" s="1">
        <v>109</v>
      </c>
      <c r="B115" s="1">
        <f t="shared" si="11"/>
        <v>61.5</v>
      </c>
      <c r="C115" s="1">
        <f t="shared" si="7"/>
        <v>2.0004623004453341</v>
      </c>
      <c r="D115" s="1">
        <f t="shared" si="8"/>
        <v>-0.35889570426661521</v>
      </c>
      <c r="E115" s="1">
        <f t="shared" si="9"/>
        <v>63.14156659617872</v>
      </c>
      <c r="F115" s="1">
        <v>-0.44861963033326901</v>
      </c>
      <c r="G115" s="1">
        <f>AVERAGE(E114:E116)</f>
        <v>63.188990863958111</v>
      </c>
      <c r="H115" s="1"/>
      <c r="I115" s="1">
        <f t="shared" si="10"/>
        <v>38.204921881836952</v>
      </c>
      <c r="J115" s="1">
        <f>MEDIAN(E114:E116)</f>
        <v>63.14156659617872</v>
      </c>
    </row>
    <row r="116" spans="1:10" x14ac:dyDescent="0.25">
      <c r="A116" s="1">
        <v>110</v>
      </c>
      <c r="B116" s="1">
        <f t="shared" si="11"/>
        <v>62</v>
      </c>
      <c r="C116" s="1">
        <f t="shared" si="7"/>
        <v>3.4643709520920738</v>
      </c>
      <c r="D116" s="1">
        <f t="shared" si="8"/>
        <v>-1.4982288121245801</v>
      </c>
      <c r="E116" s="1">
        <f t="shared" si="9"/>
        <v>63.966142139967488</v>
      </c>
      <c r="F116" s="1">
        <v>-1.8727860151557252</v>
      </c>
      <c r="G116" s="11"/>
      <c r="H116" s="1"/>
      <c r="I116" s="1">
        <f t="shared" si="10"/>
        <v>38.669088012614075</v>
      </c>
      <c r="J116" s="1"/>
    </row>
  </sheetData>
  <mergeCells count="1">
    <mergeCell ref="J2:L2"/>
  </mergeCells>
  <hyperlinks>
    <hyperlink ref="J2" location="'2'!A1" display="Вернуться к оглавлению."/>
  </hyperlink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4"/>
  <sheetViews>
    <sheetView topLeftCell="E1" workbookViewId="0">
      <selection activeCell="T15" sqref="T15"/>
    </sheetView>
  </sheetViews>
  <sheetFormatPr defaultRowHeight="15" x14ac:dyDescent="0.25"/>
  <sheetData>
    <row r="1" spans="1:1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</row>
    <row r="2" spans="1:11" x14ac:dyDescent="0.25">
      <c r="A2" s="1">
        <v>110</v>
      </c>
      <c r="B2" s="1">
        <v>7</v>
      </c>
      <c r="C2" s="1">
        <v>0.5</v>
      </c>
      <c r="D2" s="1">
        <v>4</v>
      </c>
      <c r="E2" s="1">
        <v>0.8</v>
      </c>
      <c r="F2" s="1">
        <v>0.2</v>
      </c>
      <c r="G2" s="1">
        <v>0.05</v>
      </c>
      <c r="I2" s="23" t="s">
        <v>51</v>
      </c>
      <c r="J2" s="23"/>
      <c r="K2" s="23"/>
    </row>
    <row r="4" spans="1:11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12</v>
      </c>
      <c r="H4" s="7"/>
    </row>
    <row r="5" spans="1:11" x14ac:dyDescent="0.25">
      <c r="A5" s="1">
        <v>1</v>
      </c>
      <c r="B5" s="1">
        <f>$B$2 + $C$2 *A5</f>
        <v>7.5</v>
      </c>
      <c r="C5" s="1">
        <f>1+$F$2*SIN(0.5236 *A5)</f>
        <v>1.1000002120725205</v>
      </c>
      <c r="D5" s="1">
        <f xml:space="preserve"> 1 + $G$2 * F5</f>
        <v>0.95834036781161558</v>
      </c>
      <c r="E5" s="1">
        <f>B5*C5*D5</f>
        <v>7.9063095587282595</v>
      </c>
      <c r="F5" s="1">
        <v>-0.83319264376768842</v>
      </c>
    </row>
    <row r="6" spans="1:11" x14ac:dyDescent="0.25">
      <c r="A6" s="1">
        <v>2</v>
      </c>
      <c r="B6" s="1">
        <f t="shared" ref="B6:B69" si="0">$B$2 + $C$2 *A6</f>
        <v>8</v>
      </c>
      <c r="C6" s="1">
        <f t="shared" ref="C6:C69" si="1">1+$F$2*SIN(0.5236 *A6)</f>
        <v>1.1732053256367085</v>
      </c>
      <c r="D6" s="1">
        <f t="shared" ref="D6:D69" si="2" xml:space="preserve"> 1 + $G$2 * F6</f>
        <v>0.99981832843332086</v>
      </c>
      <c r="E6" s="1">
        <f t="shared" ref="E6:E69" si="3">B6*C6*D6</f>
        <v>9.3839375006973107</v>
      </c>
      <c r="F6" s="1">
        <v>-3.6334313335828483E-3</v>
      </c>
    </row>
    <row r="7" spans="1:11" x14ac:dyDescent="0.25">
      <c r="A7" s="1">
        <v>3</v>
      </c>
      <c r="B7" s="1">
        <f t="shared" si="0"/>
        <v>8.5</v>
      </c>
      <c r="C7" s="1">
        <f t="shared" si="1"/>
        <v>1.1999999999986508</v>
      </c>
      <c r="D7" s="1">
        <f t="shared" si="2"/>
        <v>0.9805837092026195</v>
      </c>
      <c r="E7" s="1">
        <f t="shared" si="3"/>
        <v>10.001953833855472</v>
      </c>
      <c r="F7" s="1">
        <v>-0.38832581594760995</v>
      </c>
    </row>
    <row r="8" spans="1:11" x14ac:dyDescent="0.25">
      <c r="A8" s="1">
        <v>4</v>
      </c>
      <c r="B8" s="1">
        <f t="shared" si="0"/>
        <v>9</v>
      </c>
      <c r="C8" s="1">
        <f t="shared" si="1"/>
        <v>1.17320459099413</v>
      </c>
      <c r="D8" s="1">
        <f t="shared" si="2"/>
        <v>1.0314340695695137</v>
      </c>
      <c r="E8" s="1">
        <f t="shared" si="3"/>
        <v>10.890748671540411</v>
      </c>
      <c r="F8" s="1">
        <v>0.62868139139027335</v>
      </c>
    </row>
    <row r="9" spans="1:11" x14ac:dyDescent="0.25">
      <c r="A9" s="1">
        <v>5</v>
      </c>
      <c r="B9" s="1">
        <f t="shared" si="0"/>
        <v>9.5</v>
      </c>
      <c r="C9" s="1">
        <f t="shared" si="1"/>
        <v>1.0999989396351484</v>
      </c>
      <c r="D9" s="1">
        <f t="shared" si="2"/>
        <v>1.0425593498221133</v>
      </c>
      <c r="E9" s="1">
        <f t="shared" si="3"/>
        <v>10.894734703454827</v>
      </c>
      <c r="F9" s="1">
        <v>0.85118699644226581</v>
      </c>
    </row>
    <row r="10" spans="1:11" x14ac:dyDescent="0.25">
      <c r="A10" s="1">
        <v>6</v>
      </c>
      <c r="B10" s="1">
        <f t="shared" si="0"/>
        <v>10</v>
      </c>
      <c r="C10" s="1">
        <f t="shared" si="1"/>
        <v>0.99999853071795874</v>
      </c>
      <c r="D10" s="1">
        <f t="shared" si="2"/>
        <v>0.97455756783892866</v>
      </c>
      <c r="E10" s="1">
        <f t="shared" si="3"/>
        <v>9.7455613593899599</v>
      </c>
      <c r="F10" s="1">
        <v>-0.50884864322142676</v>
      </c>
    </row>
    <row r="11" spans="1:11" x14ac:dyDescent="0.25">
      <c r="A11" s="1">
        <v>7</v>
      </c>
      <c r="B11" s="1">
        <f t="shared" si="0"/>
        <v>10.5</v>
      </c>
      <c r="C11" s="1">
        <f t="shared" si="1"/>
        <v>0.89999851549550436</v>
      </c>
      <c r="D11" s="1">
        <f t="shared" si="2"/>
        <v>0.90516334946732968</v>
      </c>
      <c r="E11" s="1">
        <f t="shared" si="3"/>
        <v>8.5537795434161179</v>
      </c>
      <c r="F11" s="1">
        <v>-1.8967330106534064</v>
      </c>
    </row>
    <row r="12" spans="1:11" x14ac:dyDescent="0.25">
      <c r="A12" s="1">
        <v>8</v>
      </c>
      <c r="B12" s="1">
        <f t="shared" si="0"/>
        <v>11</v>
      </c>
      <c r="C12" s="1">
        <f t="shared" si="1"/>
        <v>0.82679393973006055</v>
      </c>
      <c r="D12" s="1">
        <f t="shared" si="2"/>
        <v>1.0154402641783236</v>
      </c>
      <c r="E12" s="1">
        <f t="shared" si="3"/>
        <v>9.2351584223858261</v>
      </c>
      <c r="F12" s="1">
        <v>0.30880528356647119</v>
      </c>
    </row>
    <row r="13" spans="1:11" x14ac:dyDescent="0.25">
      <c r="A13" s="1">
        <v>9</v>
      </c>
      <c r="B13" s="1">
        <f t="shared" si="0"/>
        <v>11.5</v>
      </c>
      <c r="C13" s="1">
        <f t="shared" si="1"/>
        <v>0.80000000001214322</v>
      </c>
      <c r="D13" s="1">
        <f t="shared" si="2"/>
        <v>1.0234423396250349</v>
      </c>
      <c r="E13" s="1">
        <f t="shared" si="3"/>
        <v>9.4156695246932429</v>
      </c>
      <c r="F13" s="1">
        <v>0.46884679250069894</v>
      </c>
    </row>
    <row r="14" spans="1:11" x14ac:dyDescent="0.25">
      <c r="A14" s="1">
        <v>10</v>
      </c>
      <c r="B14" s="1">
        <f t="shared" si="0"/>
        <v>12</v>
      </c>
      <c r="C14" s="1">
        <f t="shared" si="1"/>
        <v>0.82679614365779641</v>
      </c>
      <c r="D14" s="1">
        <f t="shared" si="2"/>
        <v>0.94151653481821995</v>
      </c>
      <c r="E14" s="1">
        <f t="shared" si="3"/>
        <v>9.3413068821330665</v>
      </c>
      <c r="F14" s="1">
        <v>-1.169669303635601</v>
      </c>
    </row>
    <row r="15" spans="1:11" x14ac:dyDescent="0.25">
      <c r="A15" s="1">
        <v>11</v>
      </c>
      <c r="B15" s="1">
        <f t="shared" si="0"/>
        <v>12.5</v>
      </c>
      <c r="C15" s="1">
        <f t="shared" si="1"/>
        <v>0.90000233280762054</v>
      </c>
      <c r="D15" s="1">
        <f t="shared" si="2"/>
        <v>0.92445282259723172</v>
      </c>
      <c r="E15" s="1">
        <f t="shared" si="3"/>
        <v>10.400121211351225</v>
      </c>
      <c r="F15" s="1">
        <v>-1.5109435480553657</v>
      </c>
    </row>
    <row r="16" spans="1:11" x14ac:dyDescent="0.25">
      <c r="A16" s="1">
        <v>12</v>
      </c>
      <c r="B16" s="1">
        <f t="shared" si="0"/>
        <v>13</v>
      </c>
      <c r="C16" s="1">
        <f t="shared" si="1"/>
        <v>1.0000029385640825</v>
      </c>
      <c r="D16" s="1">
        <f t="shared" si="2"/>
        <v>1.0090122966867057</v>
      </c>
      <c r="E16" s="1">
        <f t="shared" si="3"/>
        <v>13.117198402541995</v>
      </c>
      <c r="F16" s="1">
        <v>0.18024593373411335</v>
      </c>
    </row>
    <row r="17" spans="1:6" x14ac:dyDescent="0.25">
      <c r="A17" s="1">
        <v>13</v>
      </c>
      <c r="B17" s="1">
        <f t="shared" si="0"/>
        <v>13.5</v>
      </c>
      <c r="C17" s="1">
        <f t="shared" si="1"/>
        <v>1.1000027569310735</v>
      </c>
      <c r="D17" s="1">
        <f t="shared" si="2"/>
        <v>0.94161498761968687</v>
      </c>
      <c r="E17" s="1">
        <f t="shared" si="3"/>
        <v>13.983017611715201</v>
      </c>
      <c r="F17" s="1">
        <v>-1.1677002476062626</v>
      </c>
    </row>
    <row r="18" spans="1:6" x14ac:dyDescent="0.25">
      <c r="A18" s="1">
        <v>14</v>
      </c>
      <c r="B18" s="1">
        <f t="shared" si="0"/>
        <v>14</v>
      </c>
      <c r="C18" s="1">
        <f t="shared" si="1"/>
        <v>1.1732067948938223</v>
      </c>
      <c r="D18" s="1">
        <f t="shared" si="2"/>
        <v>1.0012910277291667</v>
      </c>
      <c r="E18" s="1">
        <f t="shared" si="3"/>
        <v>16.446100123573078</v>
      </c>
      <c r="F18" s="1">
        <v>2.5820554583333433E-2</v>
      </c>
    </row>
    <row r="19" spans="1:6" x14ac:dyDescent="0.25">
      <c r="A19" s="1">
        <v>15</v>
      </c>
      <c r="B19" s="1">
        <f t="shared" si="0"/>
        <v>14.5</v>
      </c>
      <c r="C19" s="1">
        <f t="shared" si="1"/>
        <v>1.1999999999662689</v>
      </c>
      <c r="D19" s="1">
        <f t="shared" si="2"/>
        <v>1.1355365384370089</v>
      </c>
      <c r="E19" s="1">
        <f t="shared" si="3"/>
        <v>19.758335768248564</v>
      </c>
      <c r="F19" s="1">
        <v>2.7107307687401772</v>
      </c>
    </row>
    <row r="20" spans="1:6" x14ac:dyDescent="0.25">
      <c r="A20" s="1">
        <v>16</v>
      </c>
      <c r="B20" s="1">
        <f t="shared" si="0"/>
        <v>15</v>
      </c>
      <c r="C20" s="1">
        <f t="shared" si="1"/>
        <v>1.1732031216809293</v>
      </c>
      <c r="D20" s="1">
        <f t="shared" si="2"/>
        <v>1.0373021293853526</v>
      </c>
      <c r="E20" s="1">
        <f t="shared" si="3"/>
        <v>18.254491444817567</v>
      </c>
      <c r="F20" s="1">
        <v>0.74604258770705201</v>
      </c>
    </row>
    <row r="21" spans="1:6" x14ac:dyDescent="0.25">
      <c r="A21" s="1">
        <v>17</v>
      </c>
      <c r="B21" s="1">
        <f t="shared" si="0"/>
        <v>15.5</v>
      </c>
      <c r="C21" s="1">
        <f t="shared" si="1"/>
        <v>1.0999963947442137</v>
      </c>
      <c r="D21" s="1">
        <f t="shared" si="2"/>
        <v>1.0210853841053904</v>
      </c>
      <c r="E21" s="1">
        <f t="shared" si="3"/>
        <v>17.40944873925007</v>
      </c>
      <c r="F21" s="1">
        <v>0.42170768210780807</v>
      </c>
    </row>
    <row r="22" spans="1:6" x14ac:dyDescent="0.25">
      <c r="A22" s="1">
        <v>18</v>
      </c>
      <c r="B22" s="1">
        <f t="shared" si="0"/>
        <v>16</v>
      </c>
      <c r="C22" s="1">
        <f t="shared" si="1"/>
        <v>0.99999559215387646</v>
      </c>
      <c r="D22" s="1">
        <f t="shared" si="2"/>
        <v>0.92700031725689769</v>
      </c>
      <c r="E22" s="1">
        <f t="shared" si="3"/>
        <v>14.831939698914283</v>
      </c>
      <c r="F22" s="1">
        <v>-1.4599936548620462</v>
      </c>
    </row>
    <row r="23" spans="1:6" x14ac:dyDescent="0.25">
      <c r="A23" s="1">
        <v>19</v>
      </c>
      <c r="B23" s="1">
        <f t="shared" si="0"/>
        <v>16.5</v>
      </c>
      <c r="C23" s="1">
        <f t="shared" si="1"/>
        <v>0.89999597064774539</v>
      </c>
      <c r="D23" s="1">
        <f t="shared" si="2"/>
        <v>1.0616553279542131</v>
      </c>
      <c r="E23" s="1">
        <f t="shared" si="3"/>
        <v>15.765511036695791</v>
      </c>
      <c r="F23" s="1">
        <v>1.2331065590842627</v>
      </c>
    </row>
    <row r="24" spans="1:6" x14ac:dyDescent="0.25">
      <c r="A24" s="1">
        <v>20</v>
      </c>
      <c r="B24" s="1">
        <f t="shared" si="0"/>
        <v>17</v>
      </c>
      <c r="C24" s="1">
        <f t="shared" si="1"/>
        <v>0.82679247049164273</v>
      </c>
      <c r="D24" s="1">
        <f t="shared" si="2"/>
        <v>1.0703703335602768</v>
      </c>
      <c r="E24" s="1">
        <f t="shared" si="3"/>
        <v>15.044560251229504</v>
      </c>
      <c r="F24" s="1">
        <v>1.4074066712055355</v>
      </c>
    </row>
    <row r="25" spans="1:6" x14ac:dyDescent="0.25">
      <c r="A25" s="1">
        <v>21</v>
      </c>
      <c r="B25" s="1">
        <f t="shared" si="0"/>
        <v>17.5</v>
      </c>
      <c r="C25" s="1">
        <f t="shared" si="1"/>
        <v>0.80000000006611294</v>
      </c>
      <c r="D25" s="1">
        <f t="shared" si="2"/>
        <v>0.87547562341205776</v>
      </c>
      <c r="E25" s="1">
        <f t="shared" si="3"/>
        <v>12.256658728781714</v>
      </c>
      <c r="F25" s="1">
        <v>-2.4904875317588449</v>
      </c>
    </row>
    <row r="26" spans="1:6" x14ac:dyDescent="0.25">
      <c r="A26" s="1">
        <v>22</v>
      </c>
      <c r="B26" s="1">
        <f t="shared" si="0"/>
        <v>18</v>
      </c>
      <c r="C26" s="1">
        <f t="shared" si="1"/>
        <v>0.82679761298969257</v>
      </c>
      <c r="D26" s="1">
        <f t="shared" si="2"/>
        <v>1.0479220716442796</v>
      </c>
      <c r="E26" s="1">
        <f t="shared" si="3"/>
        <v>15.595550413824672</v>
      </c>
      <c r="F26" s="1">
        <v>0.9584414328855928</v>
      </c>
    </row>
    <row r="27" spans="1:6" x14ac:dyDescent="0.25">
      <c r="A27" s="1">
        <v>23</v>
      </c>
      <c r="B27" s="1">
        <f t="shared" si="0"/>
        <v>18.5</v>
      </c>
      <c r="C27" s="1">
        <f t="shared" si="1"/>
        <v>0.90000487770934912</v>
      </c>
      <c r="D27" s="1">
        <f t="shared" si="2"/>
        <v>1.0419579464505659</v>
      </c>
      <c r="E27" s="1">
        <f t="shared" si="3"/>
        <v>17.348693832210234</v>
      </c>
      <c r="F27" s="1">
        <v>0.83915892901131883</v>
      </c>
    </row>
    <row r="28" spans="1:6" x14ac:dyDescent="0.25">
      <c r="A28" s="1">
        <v>24</v>
      </c>
      <c r="B28" s="1">
        <f t="shared" si="0"/>
        <v>19</v>
      </c>
      <c r="C28" s="1">
        <f t="shared" si="1"/>
        <v>1.0000058771281641</v>
      </c>
      <c r="D28" s="1">
        <f t="shared" si="2"/>
        <v>1.1286680344492197</v>
      </c>
      <c r="E28" s="1">
        <f t="shared" si="3"/>
        <v>21.444818687742345</v>
      </c>
      <c r="F28" s="1">
        <v>2.5733606889843941</v>
      </c>
    </row>
    <row r="29" spans="1:6" x14ac:dyDescent="0.25">
      <c r="A29" s="1">
        <v>25</v>
      </c>
      <c r="B29" s="1">
        <f t="shared" si="0"/>
        <v>19.5</v>
      </c>
      <c r="C29" s="1">
        <f t="shared" si="1"/>
        <v>1.1000053017680382</v>
      </c>
      <c r="D29" s="1">
        <f t="shared" si="2"/>
        <v>0.97736586010432802</v>
      </c>
      <c r="E29" s="1">
        <f t="shared" si="3"/>
        <v>20.96459874369587</v>
      </c>
      <c r="F29" s="1">
        <v>-0.45268279791343957</v>
      </c>
    </row>
    <row r="30" spans="1:6" x14ac:dyDescent="0.25">
      <c r="A30" s="1">
        <v>26</v>
      </c>
      <c r="B30" s="1">
        <f t="shared" si="0"/>
        <v>20</v>
      </c>
      <c r="C30" s="1">
        <f t="shared" si="1"/>
        <v>1.1732082641135442</v>
      </c>
      <c r="D30" s="1">
        <f t="shared" si="2"/>
        <v>0.99080495172165683</v>
      </c>
      <c r="E30" s="1">
        <f t="shared" si="3"/>
        <v>23.248411149689378</v>
      </c>
      <c r="F30" s="1">
        <v>-0.18390096556686331</v>
      </c>
    </row>
    <row r="31" spans="1:6" x14ac:dyDescent="0.25">
      <c r="A31" s="1">
        <v>27</v>
      </c>
      <c r="B31" s="1">
        <f t="shared" si="0"/>
        <v>20.5</v>
      </c>
      <c r="C31" s="1">
        <f t="shared" si="1"/>
        <v>1.1999999998907112</v>
      </c>
      <c r="D31" s="1">
        <f t="shared" si="2"/>
        <v>1.04341177373135</v>
      </c>
      <c r="E31" s="1">
        <f t="shared" si="3"/>
        <v>25.667929631453529</v>
      </c>
      <c r="F31" s="1">
        <v>0.86823547462699935</v>
      </c>
    </row>
    <row r="32" spans="1:6" x14ac:dyDescent="0.25">
      <c r="A32" s="1">
        <v>28</v>
      </c>
      <c r="B32" s="1">
        <f t="shared" si="0"/>
        <v>21</v>
      </c>
      <c r="C32" s="1">
        <f t="shared" si="1"/>
        <v>1.1732016523303379</v>
      </c>
      <c r="D32" s="1">
        <f t="shared" si="2"/>
        <v>0.96096767063136213</v>
      </c>
      <c r="E32" s="1">
        <f t="shared" si="3"/>
        <v>23.67558603943575</v>
      </c>
      <c r="F32" s="1">
        <v>-0.78064658737275749</v>
      </c>
    </row>
    <row r="33" spans="1:6" x14ac:dyDescent="0.25">
      <c r="A33" s="1">
        <v>29</v>
      </c>
      <c r="B33" s="1">
        <f t="shared" si="0"/>
        <v>21.5</v>
      </c>
      <c r="C33" s="1">
        <f t="shared" si="1"/>
        <v>1.0999938498316917</v>
      </c>
      <c r="D33" s="1">
        <f t="shared" si="2"/>
        <v>0.88882700563408434</v>
      </c>
      <c r="E33" s="1">
        <f t="shared" si="3"/>
        <v>21.020641154878938</v>
      </c>
      <c r="F33" s="1">
        <v>-2.2234598873183131</v>
      </c>
    </row>
    <row r="34" spans="1:6" x14ac:dyDescent="0.25">
      <c r="A34" s="1">
        <v>30</v>
      </c>
      <c r="B34" s="1">
        <f t="shared" si="0"/>
        <v>22</v>
      </c>
      <c r="C34" s="1">
        <f t="shared" si="1"/>
        <v>0.99999265358979517</v>
      </c>
      <c r="D34" s="1">
        <f t="shared" si="2"/>
        <v>0.88487070368137211</v>
      </c>
      <c r="E34" s="1">
        <f t="shared" si="3"/>
        <v>19.467012467280501</v>
      </c>
      <c r="F34" s="1">
        <v>-2.3025859263725579</v>
      </c>
    </row>
    <row r="35" spans="1:6" x14ac:dyDescent="0.25">
      <c r="A35" s="1">
        <v>31</v>
      </c>
      <c r="B35" s="1">
        <f t="shared" si="0"/>
        <v>22.5</v>
      </c>
      <c r="C35" s="1">
        <f t="shared" si="1"/>
        <v>0.89999342582157493</v>
      </c>
      <c r="D35" s="1">
        <f t="shared" si="2"/>
        <v>1.1005560079647694</v>
      </c>
      <c r="E35" s="1">
        <f t="shared" si="3"/>
        <v>22.286096368126412</v>
      </c>
      <c r="F35" s="1">
        <v>2.0111201592953876</v>
      </c>
    </row>
    <row r="36" spans="1:6" x14ac:dyDescent="0.25">
      <c r="A36" s="1">
        <v>32</v>
      </c>
      <c r="B36" s="1">
        <f t="shared" si="0"/>
        <v>23</v>
      </c>
      <c r="C36" s="1">
        <f t="shared" si="1"/>
        <v>0.82679100129061678</v>
      </c>
      <c r="D36" s="1">
        <f t="shared" si="2"/>
        <v>0.98184796368150273</v>
      </c>
      <c r="E36" s="1">
        <f t="shared" si="3"/>
        <v>18.671010403169802</v>
      </c>
      <c r="F36" s="1">
        <v>-0.36304072636994533</v>
      </c>
    </row>
    <row r="37" spans="1:6" x14ac:dyDescent="0.25">
      <c r="A37" s="1">
        <v>33</v>
      </c>
      <c r="B37" s="1">
        <f t="shared" si="0"/>
        <v>23.5</v>
      </c>
      <c r="C37" s="1">
        <f t="shared" si="1"/>
        <v>0.80000000016325845</v>
      </c>
      <c r="D37" s="1">
        <f t="shared" si="2"/>
        <v>0.98552772240145714</v>
      </c>
      <c r="E37" s="1">
        <f t="shared" si="3"/>
        <v>18.527921184928442</v>
      </c>
      <c r="F37" s="1">
        <v>-0.2894455519708572</v>
      </c>
    </row>
    <row r="38" spans="1:6" x14ac:dyDescent="0.25">
      <c r="A38" s="1">
        <v>34</v>
      </c>
      <c r="B38" s="1">
        <f t="shared" si="0"/>
        <v>24</v>
      </c>
      <c r="C38" s="1">
        <f t="shared" si="1"/>
        <v>0.82679908235897948</v>
      </c>
      <c r="D38" s="1">
        <f t="shared" si="2"/>
        <v>0.96620465481100837</v>
      </c>
      <c r="E38" s="1">
        <f t="shared" si="3"/>
        <v>19.17257092724919</v>
      </c>
      <c r="F38" s="1">
        <v>-0.67590690377983265</v>
      </c>
    </row>
    <row r="39" spans="1:6" x14ac:dyDescent="0.25">
      <c r="A39" s="1">
        <v>35</v>
      </c>
      <c r="B39" s="1">
        <f t="shared" si="0"/>
        <v>24.5</v>
      </c>
      <c r="C39" s="1">
        <f t="shared" si="1"/>
        <v>0.90000742263266398</v>
      </c>
      <c r="D39" s="1">
        <f t="shared" si="2"/>
        <v>1.0846016519062687</v>
      </c>
      <c r="E39" s="1">
        <f t="shared" si="3"/>
        <v>23.915663664224621</v>
      </c>
      <c r="F39" s="1">
        <v>1.6920330381253734</v>
      </c>
    </row>
    <row r="40" spans="1:6" x14ac:dyDescent="0.25">
      <c r="A40" s="1">
        <v>36</v>
      </c>
      <c r="B40" s="1">
        <f t="shared" si="0"/>
        <v>25</v>
      </c>
      <c r="C40" s="1">
        <f t="shared" si="1"/>
        <v>1.0000088156922451</v>
      </c>
      <c r="D40" s="1">
        <f t="shared" si="2"/>
        <v>0.91497929840988945</v>
      </c>
      <c r="E40" s="1">
        <f t="shared" si="3"/>
        <v>22.874684114644872</v>
      </c>
      <c r="F40" s="1">
        <v>-1.700414031802211</v>
      </c>
    </row>
    <row r="41" spans="1:6" x14ac:dyDescent="0.25">
      <c r="A41" s="1">
        <v>37</v>
      </c>
      <c r="B41" s="1">
        <f t="shared" si="0"/>
        <v>25.5</v>
      </c>
      <c r="C41" s="1">
        <f t="shared" si="1"/>
        <v>1.1000078465834138</v>
      </c>
      <c r="D41" s="1">
        <f t="shared" si="2"/>
        <v>0.98544393520205631</v>
      </c>
      <c r="E41" s="1">
        <f t="shared" si="3"/>
        <v>27.641899557802628</v>
      </c>
      <c r="F41" s="1">
        <v>-0.29112129595887382</v>
      </c>
    </row>
    <row r="42" spans="1:6" x14ac:dyDescent="0.25">
      <c r="A42" s="1">
        <v>38</v>
      </c>
      <c r="B42" s="1">
        <f t="shared" si="0"/>
        <v>26</v>
      </c>
      <c r="C42" s="1">
        <f t="shared" si="1"/>
        <v>1.1732097332958742</v>
      </c>
      <c r="D42" s="1">
        <f t="shared" si="2"/>
        <v>0.98108182808209676</v>
      </c>
      <c r="E42" s="1">
        <f t="shared" si="3"/>
        <v>29.926383496506261</v>
      </c>
      <c r="F42" s="1">
        <v>-0.37836343835806474</v>
      </c>
    </row>
    <row r="43" spans="1:6" x14ac:dyDescent="0.25">
      <c r="A43" s="1">
        <v>39</v>
      </c>
      <c r="B43" s="1">
        <f t="shared" si="0"/>
        <v>26.5</v>
      </c>
      <c r="C43" s="1">
        <f t="shared" si="1"/>
        <v>1.1999999997719779</v>
      </c>
      <c r="D43" s="1">
        <f t="shared" si="2"/>
        <v>1.0020220340957167</v>
      </c>
      <c r="E43" s="1">
        <f t="shared" si="3"/>
        <v>31.864300678188986</v>
      </c>
      <c r="F43" s="1">
        <v>4.0440681914333254E-2</v>
      </c>
    </row>
    <row r="44" spans="1:6" x14ac:dyDescent="0.25">
      <c r="A44" s="1">
        <v>40</v>
      </c>
      <c r="B44" s="1">
        <f t="shared" si="0"/>
        <v>27</v>
      </c>
      <c r="C44" s="1">
        <f t="shared" si="1"/>
        <v>1.1732001829423557</v>
      </c>
      <c r="D44" s="1">
        <f t="shared" si="2"/>
        <v>0.96255121459398651</v>
      </c>
      <c r="E44" s="1">
        <f t="shared" si="3"/>
        <v>30.490162048432396</v>
      </c>
      <c r="F44" s="1">
        <v>-0.7489757081202697</v>
      </c>
    </row>
    <row r="45" spans="1:6" x14ac:dyDescent="0.25">
      <c r="A45" s="1">
        <v>41</v>
      </c>
      <c r="B45" s="1">
        <f t="shared" si="0"/>
        <v>27.5</v>
      </c>
      <c r="C45" s="1">
        <f t="shared" si="1"/>
        <v>1.0999913048975833</v>
      </c>
      <c r="D45" s="1">
        <f t="shared" si="2"/>
        <v>1.0424660129283438</v>
      </c>
      <c r="E45" s="1">
        <f t="shared" si="3"/>
        <v>31.534347621491825</v>
      </c>
      <c r="F45" s="1">
        <v>0.84932025856687687</v>
      </c>
    </row>
    <row r="46" spans="1:6" x14ac:dyDescent="0.25">
      <c r="A46" s="1">
        <v>42</v>
      </c>
      <c r="B46" s="1">
        <f t="shared" si="0"/>
        <v>28</v>
      </c>
      <c r="C46" s="1">
        <f t="shared" si="1"/>
        <v>0.99998971502571521</v>
      </c>
      <c r="D46" s="1">
        <f t="shared" si="2"/>
        <v>1.0022057520254748</v>
      </c>
      <c r="E46" s="1">
        <f t="shared" si="3"/>
        <v>28.061472442222438</v>
      </c>
      <c r="F46" s="1">
        <v>4.4115040509495884E-2</v>
      </c>
    </row>
    <row r="47" spans="1:6" x14ac:dyDescent="0.25">
      <c r="A47" s="1">
        <v>43</v>
      </c>
      <c r="B47" s="1">
        <f t="shared" si="0"/>
        <v>28.5</v>
      </c>
      <c r="C47" s="1">
        <f t="shared" si="1"/>
        <v>0.89999088101699443</v>
      </c>
      <c r="D47" s="1">
        <f t="shared" si="2"/>
        <v>1.0532030526301241</v>
      </c>
      <c r="E47" s="1">
        <f t="shared" si="3"/>
        <v>27.014384581951642</v>
      </c>
      <c r="F47" s="1">
        <v>1.064061052602483</v>
      </c>
    </row>
    <row r="48" spans="1:6" x14ac:dyDescent="0.25">
      <c r="A48" s="1">
        <v>44</v>
      </c>
      <c r="B48" s="1">
        <f t="shared" si="0"/>
        <v>29</v>
      </c>
      <c r="C48" s="1">
        <f t="shared" si="1"/>
        <v>0.82678953212698281</v>
      </c>
      <c r="D48" s="1">
        <f t="shared" si="2"/>
        <v>0.99504439074371476</v>
      </c>
      <c r="E48" s="1">
        <f t="shared" si="3"/>
        <v>23.858076301788664</v>
      </c>
      <c r="F48" s="1">
        <v>-9.9112185125704855E-2</v>
      </c>
    </row>
    <row r="49" spans="1:6" x14ac:dyDescent="0.25">
      <c r="A49" s="1">
        <v>45</v>
      </c>
      <c r="B49" s="1">
        <f t="shared" si="0"/>
        <v>29.5</v>
      </c>
      <c r="C49" s="1">
        <f t="shared" si="1"/>
        <v>0.80000000030357976</v>
      </c>
      <c r="D49" s="1">
        <f t="shared" si="2"/>
        <v>0.92202970133803319</v>
      </c>
      <c r="E49" s="1">
        <f t="shared" si="3"/>
        <v>21.759900959834916</v>
      </c>
      <c r="F49" s="1">
        <v>-1.5594059732393362</v>
      </c>
    </row>
    <row r="50" spans="1:6" x14ac:dyDescent="0.25">
      <c r="A50" s="1">
        <v>46</v>
      </c>
      <c r="B50" s="1">
        <f t="shared" si="0"/>
        <v>30</v>
      </c>
      <c r="C50" s="1">
        <f t="shared" si="1"/>
        <v>0.82680055176565692</v>
      </c>
      <c r="D50" s="1">
        <f t="shared" si="2"/>
        <v>1.027577584660321</v>
      </c>
      <c r="E50" s="1">
        <f t="shared" si="3"/>
        <v>25.488051419375232</v>
      </c>
      <c r="F50" s="1">
        <v>0.55155169320642017</v>
      </c>
    </row>
    <row r="51" spans="1:6" x14ac:dyDescent="0.25">
      <c r="A51" s="1">
        <v>47</v>
      </c>
      <c r="B51" s="1">
        <f t="shared" si="0"/>
        <v>30.5</v>
      </c>
      <c r="C51" s="1">
        <f t="shared" si="1"/>
        <v>0.90000996757756579</v>
      </c>
      <c r="D51" s="1">
        <f t="shared" si="2"/>
        <v>1.0578215804125648</v>
      </c>
      <c r="E51" s="1">
        <f t="shared" si="3"/>
        <v>29.037523971843839</v>
      </c>
      <c r="F51" s="1">
        <v>1.156431608251296</v>
      </c>
    </row>
    <row r="52" spans="1:6" x14ac:dyDescent="0.25">
      <c r="A52" s="1">
        <v>48</v>
      </c>
      <c r="B52" s="1">
        <f t="shared" si="0"/>
        <v>31</v>
      </c>
      <c r="C52" s="1">
        <f t="shared" si="1"/>
        <v>1.0000117542563232</v>
      </c>
      <c r="D52" s="1">
        <f t="shared" si="2"/>
        <v>0.94948871062661055</v>
      </c>
      <c r="E52" s="1">
        <f t="shared" si="3"/>
        <v>29.434496005969027</v>
      </c>
      <c r="F52" s="1">
        <v>-1.0102257874677889</v>
      </c>
    </row>
    <row r="53" spans="1:6" x14ac:dyDescent="0.25">
      <c r="A53" s="1">
        <v>49</v>
      </c>
      <c r="B53" s="1">
        <f t="shared" si="0"/>
        <v>31.5</v>
      </c>
      <c r="C53" s="1">
        <f t="shared" si="1"/>
        <v>1.1000103913771999</v>
      </c>
      <c r="D53" s="1">
        <f t="shared" si="2"/>
        <v>0.93085441474249819</v>
      </c>
      <c r="E53" s="1">
        <f t="shared" si="3"/>
        <v>32.254410165896829</v>
      </c>
      <c r="F53" s="1">
        <v>-1.3829117051500361</v>
      </c>
    </row>
    <row r="54" spans="1:6" x14ac:dyDescent="0.25">
      <c r="A54" s="1">
        <v>50</v>
      </c>
      <c r="B54" s="1">
        <f t="shared" si="0"/>
        <v>32</v>
      </c>
      <c r="C54" s="1">
        <f t="shared" si="1"/>
        <v>1.1732112024408117</v>
      </c>
      <c r="D54" s="1">
        <f t="shared" si="2"/>
        <v>0.95307348399364855</v>
      </c>
      <c r="E54" s="1">
        <f t="shared" si="3"/>
        <v>35.781007621460546</v>
      </c>
      <c r="F54" s="1">
        <v>-0.93853032012702897</v>
      </c>
    </row>
    <row r="55" spans="1:6" x14ac:dyDescent="0.25">
      <c r="A55" s="1">
        <v>51</v>
      </c>
      <c r="B55" s="1">
        <f t="shared" si="0"/>
        <v>32.5</v>
      </c>
      <c r="C55" s="1">
        <f t="shared" si="1"/>
        <v>1.1999999996100685</v>
      </c>
      <c r="D55" s="1">
        <f t="shared" si="2"/>
        <v>0.96871952134824824</v>
      </c>
      <c r="E55" s="1">
        <f t="shared" si="3"/>
        <v>37.780061320305322</v>
      </c>
      <c r="F55" s="1">
        <v>-0.62560957303503528</v>
      </c>
    </row>
    <row r="56" spans="1:6" x14ac:dyDescent="0.25">
      <c r="A56" s="1">
        <v>52</v>
      </c>
      <c r="B56" s="1">
        <f t="shared" si="0"/>
        <v>33</v>
      </c>
      <c r="C56" s="1">
        <f t="shared" si="1"/>
        <v>1.1731987135169835</v>
      </c>
      <c r="D56" s="1">
        <f t="shared" si="2"/>
        <v>0.99489443780475995</v>
      </c>
      <c r="E56" s="1">
        <f t="shared" si="3"/>
        <v>38.517892859085649</v>
      </c>
      <c r="F56" s="1">
        <v>-0.10211124390480109</v>
      </c>
    </row>
    <row r="57" spans="1:6" x14ac:dyDescent="0.25">
      <c r="A57" s="1">
        <v>53</v>
      </c>
      <c r="B57" s="1">
        <f t="shared" si="0"/>
        <v>33.5</v>
      </c>
      <c r="C57" s="1">
        <f t="shared" si="1"/>
        <v>1.0999887599418885</v>
      </c>
      <c r="D57" s="1">
        <f t="shared" si="2"/>
        <v>0.97259146766737103</v>
      </c>
      <c r="E57" s="1">
        <f t="shared" si="3"/>
        <v>35.839629362058012</v>
      </c>
      <c r="F57" s="1">
        <v>-0.54817064665257931</v>
      </c>
    </row>
    <row r="58" spans="1:6" x14ac:dyDescent="0.25">
      <c r="A58" s="1">
        <v>54</v>
      </c>
      <c r="B58" s="1">
        <f t="shared" si="0"/>
        <v>34</v>
      </c>
      <c r="C58" s="1">
        <f t="shared" si="1"/>
        <v>0.99998677646163814</v>
      </c>
      <c r="D58" s="1">
        <f t="shared" si="2"/>
        <v>1.0121104335448763</v>
      </c>
      <c r="E58" s="1">
        <f t="shared" si="3"/>
        <v>34.411299695366885</v>
      </c>
      <c r="F58" s="1">
        <v>0.24220867089752574</v>
      </c>
    </row>
    <row r="59" spans="1:6" x14ac:dyDescent="0.25">
      <c r="A59" s="1">
        <v>55</v>
      </c>
      <c r="B59" s="1">
        <f t="shared" si="0"/>
        <v>34.5</v>
      </c>
      <c r="C59" s="1">
        <f t="shared" si="1"/>
        <v>0.89998833623400321</v>
      </c>
      <c r="D59" s="1">
        <f t="shared" si="2"/>
        <v>1.0204183834284777</v>
      </c>
      <c r="E59" s="1">
        <f t="shared" si="3"/>
        <v>31.683580189171344</v>
      </c>
      <c r="F59" s="1">
        <v>0.40836766856955364</v>
      </c>
    </row>
    <row r="60" spans="1:6" x14ac:dyDescent="0.25">
      <c r="A60" s="1">
        <v>56</v>
      </c>
      <c r="B60" s="1">
        <f t="shared" si="0"/>
        <v>35</v>
      </c>
      <c r="C60" s="1">
        <f t="shared" si="1"/>
        <v>0.82678806300074181</v>
      </c>
      <c r="D60" s="1">
        <f t="shared" si="2"/>
        <v>1.0674823468216346</v>
      </c>
      <c r="E60" s="1">
        <f t="shared" si="3"/>
        <v>30.890358163565089</v>
      </c>
      <c r="F60" s="1">
        <v>1.3496469364326913</v>
      </c>
    </row>
    <row r="61" spans="1:6" x14ac:dyDescent="0.25">
      <c r="A61" s="1">
        <v>57</v>
      </c>
      <c r="B61" s="1">
        <f t="shared" si="0"/>
        <v>35.5</v>
      </c>
      <c r="C61" s="1">
        <f t="shared" si="1"/>
        <v>0.80000000048707687</v>
      </c>
      <c r="D61" s="1">
        <f t="shared" si="2"/>
        <v>0.96378539890429238</v>
      </c>
      <c r="E61" s="1">
        <f t="shared" si="3"/>
        <v>27.371505345546939</v>
      </c>
      <c r="F61" s="1">
        <v>-0.72429202191415243</v>
      </c>
    </row>
    <row r="62" spans="1:6" x14ac:dyDescent="0.25">
      <c r="A62" s="1">
        <v>58</v>
      </c>
      <c r="B62" s="1">
        <f t="shared" si="0"/>
        <v>36</v>
      </c>
      <c r="C62" s="1">
        <f t="shared" si="1"/>
        <v>0.82680202120972401</v>
      </c>
      <c r="D62" s="1">
        <f t="shared" si="2"/>
        <v>0.97413436858550995</v>
      </c>
      <c r="E62" s="1">
        <f t="shared" si="3"/>
        <v>28.994985535548885</v>
      </c>
      <c r="F62" s="1">
        <v>-0.51731262828980107</v>
      </c>
    </row>
    <row r="63" spans="1:6" x14ac:dyDescent="0.25">
      <c r="A63" s="1">
        <v>59</v>
      </c>
      <c r="B63" s="1">
        <f t="shared" si="0"/>
        <v>36.5</v>
      </c>
      <c r="C63" s="1">
        <f t="shared" si="1"/>
        <v>0.90001251254405346</v>
      </c>
      <c r="D63" s="1">
        <f t="shared" si="2"/>
        <v>1.0178051777766086</v>
      </c>
      <c r="E63" s="1">
        <f t="shared" si="3"/>
        <v>33.435364929584146</v>
      </c>
      <c r="F63" s="1">
        <v>0.35610355553217232</v>
      </c>
    </row>
    <row r="64" spans="1:6" x14ac:dyDescent="0.25">
      <c r="A64" s="1">
        <v>60</v>
      </c>
      <c r="B64" s="1">
        <f t="shared" si="0"/>
        <v>37</v>
      </c>
      <c r="C64" s="1">
        <f t="shared" si="1"/>
        <v>1.0000146928203997</v>
      </c>
      <c r="D64" s="1">
        <f t="shared" si="2"/>
        <v>1.0064687242229411</v>
      </c>
      <c r="E64" s="1">
        <f t="shared" si="3"/>
        <v>37.239889947224334</v>
      </c>
      <c r="F64" s="1">
        <v>0.12937448445882183</v>
      </c>
    </row>
    <row r="65" spans="1:6" x14ac:dyDescent="0.25">
      <c r="A65" s="1">
        <v>61</v>
      </c>
      <c r="B65" s="1">
        <f t="shared" si="0"/>
        <v>37.5</v>
      </c>
      <c r="C65" s="1">
        <f t="shared" si="1"/>
        <v>1.100012936149396</v>
      </c>
      <c r="D65" s="1">
        <f t="shared" si="2"/>
        <v>1.0683482994645601</v>
      </c>
      <c r="E65" s="1">
        <f t="shared" si="3"/>
        <v>44.069885614658439</v>
      </c>
      <c r="F65" s="1">
        <v>1.3669659892912023</v>
      </c>
    </row>
    <row r="66" spans="1:6" x14ac:dyDescent="0.25">
      <c r="A66" s="1">
        <v>62</v>
      </c>
      <c r="B66" s="1">
        <f t="shared" si="0"/>
        <v>38</v>
      </c>
      <c r="C66" s="1">
        <f t="shared" si="1"/>
        <v>1.1732126715483571</v>
      </c>
      <c r="D66" s="1">
        <f t="shared" si="2"/>
        <v>0.99078158907650504</v>
      </c>
      <c r="E66" s="1">
        <f t="shared" si="3"/>
        <v>44.171105571572177</v>
      </c>
      <c r="F66" s="1">
        <v>-0.18436821846989915</v>
      </c>
    </row>
    <row r="67" spans="1:6" x14ac:dyDescent="0.25">
      <c r="A67" s="1">
        <v>63</v>
      </c>
      <c r="B67" s="1">
        <f t="shared" si="0"/>
        <v>38.5</v>
      </c>
      <c r="C67" s="1">
        <f t="shared" si="1"/>
        <v>1.1999999994049837</v>
      </c>
      <c r="D67" s="1">
        <f t="shared" si="2"/>
        <v>1.0604542265136843</v>
      </c>
      <c r="E67" s="1">
        <f t="shared" si="3"/>
        <v>48.992985240639193</v>
      </c>
      <c r="F67" s="1">
        <v>1.2090845302736852</v>
      </c>
    </row>
    <row r="68" spans="1:6" x14ac:dyDescent="0.25">
      <c r="A68" s="1">
        <v>64</v>
      </c>
      <c r="B68" s="1">
        <f t="shared" si="0"/>
        <v>39</v>
      </c>
      <c r="C68" s="1">
        <f t="shared" si="1"/>
        <v>1.1731972440542209</v>
      </c>
      <c r="D68" s="1">
        <f t="shared" si="2"/>
        <v>1.014308852769318</v>
      </c>
      <c r="E68" s="1">
        <f t="shared" si="3"/>
        <v>46.409389676861736</v>
      </c>
      <c r="F68" s="1">
        <v>0.28617705538636073</v>
      </c>
    </row>
    <row r="69" spans="1:6" x14ac:dyDescent="0.25">
      <c r="A69" s="1">
        <v>65</v>
      </c>
      <c r="B69" s="1">
        <f t="shared" si="0"/>
        <v>39.5</v>
      </c>
      <c r="C69" s="1">
        <f t="shared" si="1"/>
        <v>1.0999862149646082</v>
      </c>
      <c r="D69" s="1">
        <f t="shared" si="2"/>
        <v>0.97678798990818905</v>
      </c>
      <c r="E69" s="1">
        <f t="shared" si="3"/>
        <v>42.440906291758878</v>
      </c>
      <c r="F69" s="1">
        <v>-0.46424020183621906</v>
      </c>
    </row>
    <row r="70" spans="1:6" x14ac:dyDescent="0.25">
      <c r="A70" s="1">
        <v>66</v>
      </c>
      <c r="B70" s="1">
        <f t="shared" ref="B70:B114" si="4">$B$2 + $C$2 *A70</f>
        <v>40</v>
      </c>
      <c r="C70" s="1">
        <f t="shared" ref="C70:C114" si="5">1+$F$2*SIN(0.5236 *A70)</f>
        <v>0.99998383789756395</v>
      </c>
      <c r="D70" s="1">
        <f t="shared" ref="D70:D114" si="6" xml:space="preserve"> 1 + $G$2 * F70</f>
        <v>0.99094109170982847</v>
      </c>
      <c r="E70" s="1">
        <f t="shared" ref="E70:E114" si="7">B70*C70*D70</f>
        <v>39.637003040735841</v>
      </c>
      <c r="F70" s="1">
        <v>-0.1811781658034306</v>
      </c>
    </row>
    <row r="71" spans="1:6" x14ac:dyDescent="0.25">
      <c r="A71" s="1">
        <v>67</v>
      </c>
      <c r="B71" s="1">
        <f t="shared" si="4"/>
        <v>40.5</v>
      </c>
      <c r="C71" s="1">
        <f t="shared" si="5"/>
        <v>0.89998579147260305</v>
      </c>
      <c r="D71" s="1">
        <f t="shared" si="6"/>
        <v>0.96352636344454368</v>
      </c>
      <c r="E71" s="1">
        <f t="shared" si="7"/>
        <v>35.11998149077894</v>
      </c>
      <c r="F71" s="1">
        <v>-0.72947273110912647</v>
      </c>
    </row>
    <row r="72" spans="1:6" x14ac:dyDescent="0.25">
      <c r="A72" s="1">
        <v>68</v>
      </c>
      <c r="B72" s="1">
        <f t="shared" si="4"/>
        <v>41</v>
      </c>
      <c r="C72" s="1">
        <f t="shared" si="5"/>
        <v>0.82678659391189313</v>
      </c>
      <c r="D72" s="1">
        <f t="shared" si="6"/>
        <v>0.99639192083122907</v>
      </c>
      <c r="E72" s="1">
        <f t="shared" si="7"/>
        <v>33.775942779440605</v>
      </c>
      <c r="F72" s="1">
        <v>-7.2161583375418559E-2</v>
      </c>
    </row>
    <row r="73" spans="1:6" x14ac:dyDescent="0.25">
      <c r="A73" s="1">
        <v>69</v>
      </c>
      <c r="B73" s="1">
        <f t="shared" si="4"/>
        <v>41.5</v>
      </c>
      <c r="C73" s="1">
        <f t="shared" si="5"/>
        <v>0.80000000071374988</v>
      </c>
      <c r="D73" s="1">
        <f t="shared" si="6"/>
        <v>0.96001122326561017</v>
      </c>
      <c r="E73" s="1">
        <f t="shared" si="7"/>
        <v>31.872372640854383</v>
      </c>
      <c r="F73" s="1">
        <v>-0.79977553468779661</v>
      </c>
    </row>
    <row r="74" spans="1:6" x14ac:dyDescent="0.25">
      <c r="A74" s="1">
        <v>70</v>
      </c>
      <c r="B74" s="1">
        <f t="shared" si="4"/>
        <v>42</v>
      </c>
      <c r="C74" s="1">
        <f t="shared" si="5"/>
        <v>0.82680349069118109</v>
      </c>
      <c r="D74" s="1">
        <f t="shared" si="6"/>
        <v>1.0592175410929485</v>
      </c>
      <c r="E74" s="1">
        <f t="shared" si="7"/>
        <v>36.782119935833137</v>
      </c>
      <c r="F74" s="1">
        <v>1.1843508218589704</v>
      </c>
    </row>
    <row r="75" spans="1:6" x14ac:dyDescent="0.25">
      <c r="A75" s="1">
        <v>71</v>
      </c>
      <c r="B75" s="1">
        <f t="shared" si="4"/>
        <v>42.5</v>
      </c>
      <c r="C75" s="1">
        <f t="shared" si="5"/>
        <v>0.90001505753212552</v>
      </c>
      <c r="D75" s="1">
        <f t="shared" si="6"/>
        <v>1.0696768438501749</v>
      </c>
      <c r="E75" s="1">
        <f t="shared" si="7"/>
        <v>40.915823811740395</v>
      </c>
      <c r="F75" s="1">
        <v>1.3935368770034984</v>
      </c>
    </row>
    <row r="76" spans="1:6" x14ac:dyDescent="0.25">
      <c r="A76" s="1">
        <v>72</v>
      </c>
      <c r="B76" s="1">
        <f t="shared" si="4"/>
        <v>43</v>
      </c>
      <c r="C76" s="1">
        <f t="shared" si="5"/>
        <v>1.0000176313844729</v>
      </c>
      <c r="D76" s="1">
        <f t="shared" si="6"/>
        <v>0.86673174134921283</v>
      </c>
      <c r="E76" s="1">
        <f t="shared" si="7"/>
        <v>37.270121990280515</v>
      </c>
      <c r="F76" s="1">
        <v>-2.6653651730157435</v>
      </c>
    </row>
    <row r="77" spans="1:6" x14ac:dyDescent="0.25">
      <c r="A77" s="1">
        <v>73</v>
      </c>
      <c r="B77" s="1">
        <f t="shared" si="4"/>
        <v>43.5</v>
      </c>
      <c r="C77" s="1">
        <f t="shared" si="5"/>
        <v>1.1000154809000013</v>
      </c>
      <c r="D77" s="1">
        <f t="shared" si="6"/>
        <v>1.0209141148843628</v>
      </c>
      <c r="E77" s="1">
        <f t="shared" si="7"/>
        <v>48.851427900332283</v>
      </c>
      <c r="F77" s="1">
        <v>0.41828229768725578</v>
      </c>
    </row>
    <row r="78" spans="1:6" x14ac:dyDescent="0.25">
      <c r="A78" s="1">
        <v>74</v>
      </c>
      <c r="B78" s="1">
        <f t="shared" si="4"/>
        <v>44</v>
      </c>
      <c r="C78" s="1">
        <f t="shared" si="5"/>
        <v>1.1732141406185084</v>
      </c>
      <c r="D78" s="1">
        <f t="shared" si="6"/>
        <v>1.0792335868027294</v>
      </c>
      <c r="E78" s="1">
        <f t="shared" si="7"/>
        <v>55.711572622965363</v>
      </c>
      <c r="F78" s="1">
        <v>1.5846717360545881</v>
      </c>
    </row>
    <row r="79" spans="1:6" x14ac:dyDescent="0.25">
      <c r="A79" s="1">
        <v>75</v>
      </c>
      <c r="B79" s="1">
        <f t="shared" si="4"/>
        <v>44.5</v>
      </c>
      <c r="C79" s="1">
        <f t="shared" si="5"/>
        <v>1.1999999991567227</v>
      </c>
      <c r="D79" s="1">
        <f t="shared" si="6"/>
        <v>1.0470514578410075</v>
      </c>
      <c r="E79" s="1">
        <f t="shared" si="7"/>
        <v>55.912547809418321</v>
      </c>
      <c r="F79" s="1">
        <v>0.94102915682015009</v>
      </c>
    </row>
    <row r="80" spans="1:6" x14ac:dyDescent="0.25">
      <c r="A80" s="1">
        <v>76</v>
      </c>
      <c r="B80" s="1">
        <f t="shared" si="4"/>
        <v>45</v>
      </c>
      <c r="C80" s="1">
        <f t="shared" si="5"/>
        <v>1.1731957745540689</v>
      </c>
      <c r="D80" s="1">
        <f t="shared" si="6"/>
        <v>0.88115268934052438</v>
      </c>
      <c r="E80" s="1">
        <f t="shared" si="7"/>
        <v>46.519407534206579</v>
      </c>
      <c r="F80" s="1">
        <v>-2.3769462131895125</v>
      </c>
    </row>
    <row r="81" spans="1:6" x14ac:dyDescent="0.25">
      <c r="A81" s="1">
        <v>77</v>
      </c>
      <c r="B81" s="1">
        <f t="shared" si="4"/>
        <v>45.5</v>
      </c>
      <c r="C81" s="1">
        <f t="shared" si="5"/>
        <v>1.0999836699657433</v>
      </c>
      <c r="D81" s="1">
        <f t="shared" si="6"/>
        <v>0.99093716951392707</v>
      </c>
      <c r="E81" s="1">
        <f t="shared" si="7"/>
        <v>49.595669051446485</v>
      </c>
      <c r="F81" s="1">
        <v>-0.18125660972145852</v>
      </c>
    </row>
    <row r="82" spans="1:6" x14ac:dyDescent="0.25">
      <c r="A82" s="1">
        <v>78</v>
      </c>
      <c r="B82" s="1">
        <f t="shared" si="4"/>
        <v>46</v>
      </c>
      <c r="C82" s="1">
        <f t="shared" si="5"/>
        <v>0.99998089933349255</v>
      </c>
      <c r="D82" s="1">
        <f t="shared" si="6"/>
        <v>0.9862719732846017</v>
      </c>
      <c r="E82" s="1">
        <f t="shared" si="7"/>
        <v>45.367644202297498</v>
      </c>
      <c r="F82" s="1">
        <v>-0.27456053430796601</v>
      </c>
    </row>
    <row r="83" spans="1:6" x14ac:dyDescent="0.25">
      <c r="A83" s="1">
        <v>79</v>
      </c>
      <c r="B83" s="1">
        <f t="shared" si="4"/>
        <v>46.5</v>
      </c>
      <c r="C83" s="1">
        <f t="shared" si="5"/>
        <v>0.89998324673279317</v>
      </c>
      <c r="D83" s="1">
        <f t="shared" si="6"/>
        <v>1.1021062416839413</v>
      </c>
      <c r="E83" s="1">
        <f t="shared" si="7"/>
        <v>46.122287644036334</v>
      </c>
      <c r="F83" s="1">
        <v>2.0421248336788267</v>
      </c>
    </row>
    <row r="84" spans="1:6" x14ac:dyDescent="0.25">
      <c r="A84" s="1">
        <v>80</v>
      </c>
      <c r="B84" s="1">
        <f t="shared" si="4"/>
        <v>47</v>
      </c>
      <c r="C84" s="1">
        <f t="shared" si="5"/>
        <v>0.82678512486043765</v>
      </c>
      <c r="D84" s="1">
        <f t="shared" si="6"/>
        <v>1.0513985014549689</v>
      </c>
      <c r="E84" s="1">
        <f t="shared" si="7"/>
        <v>40.856190141265607</v>
      </c>
      <c r="F84" s="1">
        <v>1.0279700290993787</v>
      </c>
    </row>
    <row r="85" spans="1:6" x14ac:dyDescent="0.25">
      <c r="A85" s="1">
        <v>81</v>
      </c>
      <c r="B85" s="1">
        <f t="shared" si="4"/>
        <v>47.5</v>
      </c>
      <c r="C85" s="1">
        <f t="shared" si="5"/>
        <v>0.80000000098359858</v>
      </c>
      <c r="D85" s="1">
        <f t="shared" si="6"/>
        <v>1.0185243038686167</v>
      </c>
      <c r="E85" s="1">
        <f t="shared" si="7"/>
        <v>38.703923594593839</v>
      </c>
      <c r="F85" s="1">
        <v>0.37048607737233397</v>
      </c>
    </row>
    <row r="86" spans="1:6" x14ac:dyDescent="0.25">
      <c r="A86" s="1">
        <v>82</v>
      </c>
      <c r="B86" s="1">
        <f t="shared" si="4"/>
        <v>48</v>
      </c>
      <c r="C86" s="1">
        <f t="shared" si="5"/>
        <v>0.82680496021002792</v>
      </c>
      <c r="D86" s="1">
        <f t="shared" si="6"/>
        <v>1.0204973957806942</v>
      </c>
      <c r="E86" s="1">
        <f t="shared" si="7"/>
        <v>40.500110818218907</v>
      </c>
      <c r="F86" s="1">
        <v>0.40994791561388411</v>
      </c>
    </row>
    <row r="87" spans="1:6" x14ac:dyDescent="0.25">
      <c r="A87" s="1">
        <v>83</v>
      </c>
      <c r="B87" s="1">
        <f t="shared" si="4"/>
        <v>48.5</v>
      </c>
      <c r="C87" s="1">
        <f t="shared" si="5"/>
        <v>0.90001760254178298</v>
      </c>
      <c r="D87" s="1">
        <f t="shared" si="6"/>
        <v>0.92649691193946637</v>
      </c>
      <c r="E87" s="1">
        <f t="shared" si="7"/>
        <v>40.442381178137012</v>
      </c>
      <c r="F87" s="1">
        <v>-1.4700617612106726</v>
      </c>
    </row>
    <row r="88" spans="1:6" x14ac:dyDescent="0.25">
      <c r="A88" s="1">
        <v>84</v>
      </c>
      <c r="B88" s="1">
        <f t="shared" si="4"/>
        <v>49</v>
      </c>
      <c r="C88" s="1">
        <f t="shared" si="5"/>
        <v>1.0000205699485423</v>
      </c>
      <c r="D88" s="1">
        <f t="shared" si="6"/>
        <v>1.0918653313419782</v>
      </c>
      <c r="E88" s="1">
        <f t="shared" si="7"/>
        <v>53.502501756827286</v>
      </c>
      <c r="F88" s="1">
        <v>1.8373066268395633</v>
      </c>
    </row>
    <row r="89" spans="1:6" x14ac:dyDescent="0.25">
      <c r="A89" s="1">
        <v>85</v>
      </c>
      <c r="B89" s="1">
        <f t="shared" si="4"/>
        <v>49.5</v>
      </c>
      <c r="C89" s="1">
        <f t="shared" si="5"/>
        <v>1.1000180256290144</v>
      </c>
      <c r="D89" s="1">
        <f t="shared" si="6"/>
        <v>1.0619179445493501</v>
      </c>
      <c r="E89" s="1">
        <f t="shared" si="7"/>
        <v>57.822379596788259</v>
      </c>
      <c r="F89" s="1">
        <v>1.2383588909870014</v>
      </c>
    </row>
    <row r="90" spans="1:6" x14ac:dyDescent="0.25">
      <c r="A90" s="1">
        <v>86</v>
      </c>
      <c r="B90" s="1">
        <f t="shared" si="4"/>
        <v>50</v>
      </c>
      <c r="C90" s="1">
        <f t="shared" si="5"/>
        <v>1.1732156096512671</v>
      </c>
      <c r="D90" s="1">
        <f t="shared" si="6"/>
        <v>1.0342340626957593</v>
      </c>
      <c r="E90" s="1">
        <f t="shared" si="7"/>
        <v>60.668977319385604</v>
      </c>
      <c r="F90" s="1">
        <v>0.68468125391518697</v>
      </c>
    </row>
    <row r="91" spans="1:6" x14ac:dyDescent="0.25">
      <c r="A91" s="1">
        <v>87</v>
      </c>
      <c r="B91" s="1">
        <f t="shared" si="4"/>
        <v>50.5</v>
      </c>
      <c r="C91" s="1">
        <f t="shared" si="5"/>
        <v>1.1999999988652861</v>
      </c>
      <c r="D91" s="1">
        <f t="shared" si="6"/>
        <v>0.97734886392208864</v>
      </c>
      <c r="E91" s="1">
        <f t="shared" si="7"/>
        <v>59.227341097673495</v>
      </c>
      <c r="F91" s="1">
        <v>-0.4530227215582272</v>
      </c>
    </row>
    <row r="92" spans="1:6" x14ac:dyDescent="0.25">
      <c r="A92" s="1">
        <v>88</v>
      </c>
      <c r="B92" s="1">
        <f t="shared" si="4"/>
        <v>51</v>
      </c>
      <c r="C92" s="1">
        <f t="shared" si="5"/>
        <v>1.1731943050165274</v>
      </c>
      <c r="D92" s="1">
        <f t="shared" si="6"/>
        <v>0.99321869381674333</v>
      </c>
      <c r="E92" s="1">
        <f t="shared" si="7"/>
        <v>59.427164276309618</v>
      </c>
      <c r="F92" s="1">
        <v>-0.13562612366513349</v>
      </c>
    </row>
    <row r="93" spans="1:6" x14ac:dyDescent="0.25">
      <c r="A93" s="1">
        <v>89</v>
      </c>
      <c r="B93" s="1">
        <f t="shared" si="4"/>
        <v>51.5</v>
      </c>
      <c r="C93" s="1">
        <f t="shared" si="5"/>
        <v>1.0999811249452949</v>
      </c>
      <c r="D93" s="1">
        <f t="shared" si="6"/>
        <v>0.95150562881462974</v>
      </c>
      <c r="E93" s="1">
        <f t="shared" si="7"/>
        <v>53.901868946727774</v>
      </c>
      <c r="F93" s="1">
        <v>-0.96988742370740511</v>
      </c>
    </row>
    <row r="94" spans="1:6" x14ac:dyDescent="0.25">
      <c r="A94" s="1">
        <v>90</v>
      </c>
      <c r="B94" s="1">
        <f t="shared" si="4"/>
        <v>52</v>
      </c>
      <c r="C94" s="1">
        <f t="shared" si="5"/>
        <v>0.99997796076942524</v>
      </c>
      <c r="D94" s="1">
        <f t="shared" si="6"/>
        <v>0.99741129386165994</v>
      </c>
      <c r="E94" s="1">
        <f t="shared" si="7"/>
        <v>51.86424420757718</v>
      </c>
      <c r="F94" s="1">
        <v>-5.1774122766801156E-2</v>
      </c>
    </row>
    <row r="95" spans="1:6" x14ac:dyDescent="0.25">
      <c r="A95" s="1">
        <v>91</v>
      </c>
      <c r="B95" s="1">
        <f t="shared" si="4"/>
        <v>52.5</v>
      </c>
      <c r="C95" s="1">
        <f t="shared" si="5"/>
        <v>0.89998070201457492</v>
      </c>
      <c r="D95" s="1">
        <f t="shared" si="6"/>
        <v>0.99484828094864497</v>
      </c>
      <c r="E95" s="1">
        <f t="shared" si="7"/>
        <v>47.005573350023113</v>
      </c>
      <c r="F95" s="1">
        <v>-0.10303438102710061</v>
      </c>
    </row>
    <row r="96" spans="1:6" x14ac:dyDescent="0.25">
      <c r="A96" s="1">
        <v>92</v>
      </c>
      <c r="B96" s="1">
        <f t="shared" si="4"/>
        <v>53</v>
      </c>
      <c r="C96" s="1">
        <f t="shared" si="5"/>
        <v>0.82678365584637559</v>
      </c>
      <c r="D96" s="1">
        <f t="shared" si="6"/>
        <v>0.96523700929174083</v>
      </c>
      <c r="E96" s="1">
        <f t="shared" si="7"/>
        <v>42.296235714923718</v>
      </c>
      <c r="F96" s="1">
        <v>-0.69525981416518334</v>
      </c>
    </row>
    <row r="97" spans="1:6" x14ac:dyDescent="0.25">
      <c r="A97" s="1">
        <v>93</v>
      </c>
      <c r="B97" s="1">
        <f t="shared" si="4"/>
        <v>53.5</v>
      </c>
      <c r="C97" s="1">
        <f t="shared" si="5"/>
        <v>0.80000000129662308</v>
      </c>
      <c r="D97" s="1">
        <f t="shared" si="6"/>
        <v>1.0376618345399038</v>
      </c>
      <c r="E97" s="1">
        <f t="shared" si="7"/>
        <v>44.411926590289788</v>
      </c>
      <c r="F97" s="1">
        <v>0.75323669079807587</v>
      </c>
    </row>
    <row r="98" spans="1:6" x14ac:dyDescent="0.25">
      <c r="A98" s="1">
        <v>94</v>
      </c>
      <c r="B98" s="1">
        <f t="shared" si="4"/>
        <v>54</v>
      </c>
      <c r="C98" s="1">
        <f t="shared" si="5"/>
        <v>0.82680642976626395</v>
      </c>
      <c r="D98" s="1">
        <f t="shared" si="6"/>
        <v>1.0554177859157789</v>
      </c>
      <c r="E98" s="1">
        <f t="shared" si="7"/>
        <v>47.121815420181377</v>
      </c>
      <c r="F98" s="1">
        <v>1.108355718315579</v>
      </c>
    </row>
    <row r="99" spans="1:6" x14ac:dyDescent="0.25">
      <c r="A99" s="1">
        <v>95</v>
      </c>
      <c r="B99" s="1">
        <f t="shared" si="4"/>
        <v>54.5</v>
      </c>
      <c r="C99" s="1">
        <f t="shared" si="5"/>
        <v>0.90002014757302451</v>
      </c>
      <c r="D99" s="1">
        <f t="shared" si="6"/>
        <v>0.90204923960845917</v>
      </c>
      <c r="E99" s="1">
        <f t="shared" si="7"/>
        <v>44.24650569140443</v>
      </c>
      <c r="F99" s="1">
        <v>-1.9590152078308165</v>
      </c>
    </row>
    <row r="100" spans="1:6" x14ac:dyDescent="0.25">
      <c r="A100" s="1">
        <v>96</v>
      </c>
      <c r="B100" s="1">
        <f t="shared" si="4"/>
        <v>55</v>
      </c>
      <c r="C100" s="1">
        <f t="shared" si="5"/>
        <v>1.0000235085126059</v>
      </c>
      <c r="D100" s="1">
        <f t="shared" si="6"/>
        <v>0.97111700622554054</v>
      </c>
      <c r="E100" s="1">
        <f t="shared" si="7"/>
        <v>53.41269096580578</v>
      </c>
      <c r="F100" s="1">
        <v>-0.57765987548918929</v>
      </c>
    </row>
    <row r="101" spans="1:6" x14ac:dyDescent="0.25">
      <c r="A101" s="1">
        <v>97</v>
      </c>
      <c r="B101" s="1">
        <f t="shared" si="4"/>
        <v>55.5</v>
      </c>
      <c r="C101" s="1">
        <f t="shared" si="5"/>
        <v>1.1000205703364367</v>
      </c>
      <c r="D101" s="1">
        <f t="shared" si="6"/>
        <v>1.0264137725025648</v>
      </c>
      <c r="E101" s="1">
        <f t="shared" si="7"/>
        <v>62.663732620334194</v>
      </c>
      <c r="F101" s="1">
        <v>0.5282754500512965</v>
      </c>
    </row>
    <row r="102" spans="1:6" x14ac:dyDescent="0.25">
      <c r="A102" s="1">
        <v>98</v>
      </c>
      <c r="B102" s="1">
        <f t="shared" si="4"/>
        <v>56</v>
      </c>
      <c r="C102" s="1">
        <f t="shared" si="5"/>
        <v>1.1732170786466325</v>
      </c>
      <c r="D102" s="1">
        <f t="shared" si="6"/>
        <v>0.95852414258479257</v>
      </c>
      <c r="E102" s="1">
        <f t="shared" si="7"/>
        <v>62.975186085033513</v>
      </c>
      <c r="F102" s="1">
        <v>-0.82951714830414858</v>
      </c>
    </row>
    <row r="103" spans="1:6" x14ac:dyDescent="0.25">
      <c r="A103" s="1">
        <v>99</v>
      </c>
      <c r="B103" s="1">
        <f t="shared" si="4"/>
        <v>56.5</v>
      </c>
      <c r="C103" s="1">
        <f t="shared" si="5"/>
        <v>1.1999999985306737</v>
      </c>
      <c r="D103" s="1">
        <f t="shared" si="6"/>
        <v>1.0723398443369661</v>
      </c>
      <c r="E103" s="1">
        <f t="shared" si="7"/>
        <v>72.704641357023931</v>
      </c>
      <c r="F103" s="1">
        <v>1.4467968867393211</v>
      </c>
    </row>
    <row r="104" spans="1:6" x14ac:dyDescent="0.25">
      <c r="A104" s="1">
        <v>100</v>
      </c>
      <c r="B104" s="1">
        <f t="shared" si="4"/>
        <v>57</v>
      </c>
      <c r="C104" s="1">
        <f t="shared" si="5"/>
        <v>1.1731928354415975</v>
      </c>
      <c r="D104" s="1">
        <f t="shared" si="6"/>
        <v>0.91127833709469996</v>
      </c>
      <c r="E104" s="1">
        <f t="shared" si="7"/>
        <v>60.938997321840191</v>
      </c>
      <c r="F104" s="1">
        <v>-1.7744332581060007</v>
      </c>
    </row>
    <row r="105" spans="1:6" x14ac:dyDescent="0.25">
      <c r="A105" s="1">
        <v>101</v>
      </c>
      <c r="B105" s="1">
        <f t="shared" si="4"/>
        <v>57.5</v>
      </c>
      <c r="C105" s="1">
        <f t="shared" si="5"/>
        <v>1.0999785799032615</v>
      </c>
      <c r="D105" s="1">
        <f t="shared" si="6"/>
        <v>0.99545934770139866</v>
      </c>
      <c r="E105" s="1">
        <f t="shared" si="7"/>
        <v>62.961577679070665</v>
      </c>
      <c r="F105" s="1">
        <v>-9.0813045972026885E-2</v>
      </c>
    </row>
    <row r="106" spans="1:6" x14ac:dyDescent="0.25">
      <c r="A106" s="1">
        <v>102</v>
      </c>
      <c r="B106" s="1">
        <f t="shared" si="4"/>
        <v>58</v>
      </c>
      <c r="C106" s="1">
        <f t="shared" si="5"/>
        <v>0.99997502220536272</v>
      </c>
      <c r="D106" s="1">
        <f t="shared" si="6"/>
        <v>1.0123587255984603</v>
      </c>
      <c r="E106" s="1">
        <f t="shared" si="7"/>
        <v>58.715339468386553</v>
      </c>
      <c r="F106" s="1">
        <v>0.24717451196920592</v>
      </c>
    </row>
    <row r="107" spans="1:6" x14ac:dyDescent="0.25">
      <c r="A107" s="1">
        <v>103</v>
      </c>
      <c r="B107" s="1">
        <f t="shared" si="4"/>
        <v>58.5</v>
      </c>
      <c r="C107" s="1">
        <f t="shared" si="5"/>
        <v>0.89997815731794861</v>
      </c>
      <c r="D107" s="1">
        <f t="shared" si="6"/>
        <v>0.9837069708519266</v>
      </c>
      <c r="E107" s="1">
        <f t="shared" si="7"/>
        <v>51.790915037636069</v>
      </c>
      <c r="F107" s="1">
        <v>-0.32586058296146803</v>
      </c>
    </row>
    <row r="108" spans="1:6" x14ac:dyDescent="0.25">
      <c r="A108" s="1">
        <v>104</v>
      </c>
      <c r="B108" s="1">
        <f t="shared" si="4"/>
        <v>59</v>
      </c>
      <c r="C108" s="1">
        <f t="shared" si="5"/>
        <v>0.82678218686970806</v>
      </c>
      <c r="D108" s="1">
        <f t="shared" si="6"/>
        <v>1.0405229911848437</v>
      </c>
      <c r="E108" s="1">
        <f t="shared" si="7"/>
        <v>50.756866574260883</v>
      </c>
      <c r="F108" s="1">
        <v>0.81045982369687408</v>
      </c>
    </row>
    <row r="109" spans="1:6" x14ac:dyDescent="0.25">
      <c r="A109" s="1">
        <v>105</v>
      </c>
      <c r="B109" s="1">
        <f t="shared" si="4"/>
        <v>59.5</v>
      </c>
      <c r="C109" s="1">
        <f t="shared" si="5"/>
        <v>0.80000000165282337</v>
      </c>
      <c r="D109" s="1">
        <f t="shared" si="6"/>
        <v>1.1229709596373141</v>
      </c>
      <c r="E109" s="1">
        <f t="shared" si="7"/>
        <v>53.45341778917247</v>
      </c>
      <c r="F109" s="1">
        <v>2.4594191927462816</v>
      </c>
    </row>
    <row r="110" spans="1:6" x14ac:dyDescent="0.25">
      <c r="A110" s="1">
        <v>106</v>
      </c>
      <c r="B110" s="1">
        <f t="shared" si="4"/>
        <v>60</v>
      </c>
      <c r="C110" s="1">
        <f t="shared" si="5"/>
        <v>0.82680789935988874</v>
      </c>
      <c r="D110" s="1">
        <f t="shared" si="6"/>
        <v>0.9938165728963213</v>
      </c>
      <c r="E110" s="1">
        <f t="shared" si="7"/>
        <v>49.301723579127071</v>
      </c>
      <c r="F110" s="1">
        <v>-0.12366854207357392</v>
      </c>
    </row>
    <row r="111" spans="1:6" x14ac:dyDescent="0.25">
      <c r="A111" s="1">
        <v>107</v>
      </c>
      <c r="B111" s="1">
        <f t="shared" si="4"/>
        <v>60.5</v>
      </c>
      <c r="C111" s="1">
        <f t="shared" si="5"/>
        <v>0.90002269262584955</v>
      </c>
      <c r="D111" s="1">
        <f t="shared" si="6"/>
        <v>0.926316149867489</v>
      </c>
      <c r="E111" s="1">
        <f t="shared" si="7"/>
        <v>50.43918610330612</v>
      </c>
      <c r="F111" s="1">
        <v>-1.4736770026502199</v>
      </c>
    </row>
    <row r="112" spans="1:6" x14ac:dyDescent="0.25">
      <c r="A112" s="1">
        <v>108</v>
      </c>
      <c r="B112" s="1">
        <f t="shared" si="4"/>
        <v>61</v>
      </c>
      <c r="C112" s="1">
        <f t="shared" si="5"/>
        <v>1.0000264470766658</v>
      </c>
      <c r="D112" s="1">
        <f t="shared" si="6"/>
        <v>0.95501661942398641</v>
      </c>
      <c r="E112" s="1">
        <f t="shared" si="7"/>
        <v>58.257554486125983</v>
      </c>
      <c r="F112" s="1">
        <v>-0.89966761152027175</v>
      </c>
    </row>
    <row r="113" spans="1:6" x14ac:dyDescent="0.25">
      <c r="A113" s="1">
        <v>109</v>
      </c>
      <c r="B113" s="1">
        <f t="shared" si="4"/>
        <v>61.5</v>
      </c>
      <c r="C113" s="1">
        <f t="shared" si="5"/>
        <v>1.1000231150222668</v>
      </c>
      <c r="D113" s="1">
        <f t="shared" si="6"/>
        <v>1.0092417167252279</v>
      </c>
      <c r="E113" s="1">
        <f t="shared" si="7"/>
        <v>68.27663684811408</v>
      </c>
      <c r="F113" s="1">
        <v>0.18483433450455777</v>
      </c>
    </row>
    <row r="114" spans="1:6" x14ac:dyDescent="0.25">
      <c r="A114" s="1">
        <v>110</v>
      </c>
      <c r="B114" s="1">
        <f t="shared" si="4"/>
        <v>62</v>
      </c>
      <c r="C114" s="1">
        <f t="shared" si="5"/>
        <v>1.1732185476046038</v>
      </c>
      <c r="D114" s="1">
        <f t="shared" si="6"/>
        <v>1.0369242911801848</v>
      </c>
      <c r="E114" s="1">
        <f t="shared" si="7"/>
        <v>75.425406274209678</v>
      </c>
      <c r="F114" s="1">
        <v>0.73848582360369619</v>
      </c>
    </row>
  </sheetData>
  <mergeCells count="1">
    <mergeCell ref="I2:K2"/>
  </mergeCells>
  <hyperlinks>
    <hyperlink ref="I2" location="'2'!A1" display="Вернуться к оглавлению.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tabSelected="1" zoomScale="60" zoomScaleNormal="60" workbookViewId="0">
      <selection activeCell="U28" sqref="U28"/>
    </sheetView>
  </sheetViews>
  <sheetFormatPr defaultRowHeight="15" x14ac:dyDescent="0.25"/>
  <cols>
    <col min="1" max="1" width="16.28515625" style="3" customWidth="1"/>
    <col min="12" max="12" width="2.85546875" customWidth="1"/>
    <col min="13" max="13" width="9" customWidth="1"/>
  </cols>
  <sheetData>
    <row r="1" spans="1:14" x14ac:dyDescent="0.25">
      <c r="A1" s="13" t="s">
        <v>13</v>
      </c>
      <c r="B1" s="11" t="s">
        <v>14</v>
      </c>
      <c r="C1" s="11" t="s">
        <v>15</v>
      </c>
      <c r="D1" s="11" t="s">
        <v>16</v>
      </c>
      <c r="E1" s="11" t="s">
        <v>17</v>
      </c>
      <c r="F1" s="11" t="s">
        <v>18</v>
      </c>
      <c r="G1" s="32" t="s">
        <v>51</v>
      </c>
      <c r="H1" s="31"/>
      <c r="I1" s="31"/>
      <c r="J1" s="10"/>
      <c r="K1" s="10"/>
      <c r="L1" s="10"/>
      <c r="M1" s="10"/>
    </row>
    <row r="2" spans="1:14" x14ac:dyDescent="0.25">
      <c r="A2" s="13">
        <v>43472</v>
      </c>
      <c r="B2" s="11">
        <v>427</v>
      </c>
      <c r="C2" s="11">
        <v>435.3</v>
      </c>
      <c r="D2" s="11">
        <v>420.65</v>
      </c>
      <c r="E2" s="11">
        <v>434.6</v>
      </c>
      <c r="F2" s="11">
        <v>9769710</v>
      </c>
      <c r="G2" s="10"/>
      <c r="H2" s="10"/>
      <c r="I2" s="10" t="s">
        <v>19</v>
      </c>
      <c r="J2" s="10"/>
      <c r="K2" s="10"/>
      <c r="L2" s="10"/>
      <c r="M2" s="10"/>
    </row>
    <row r="3" spans="1:14" x14ac:dyDescent="0.25">
      <c r="A3" s="13">
        <v>43479</v>
      </c>
      <c r="B3" s="11">
        <v>434.05</v>
      </c>
      <c r="C3" s="11">
        <v>434.05</v>
      </c>
      <c r="D3" s="11">
        <v>414.2</v>
      </c>
      <c r="E3" s="11">
        <v>419.7</v>
      </c>
      <c r="F3" s="11">
        <v>16261000</v>
      </c>
      <c r="G3" s="10"/>
      <c r="H3" s="10"/>
      <c r="I3" s="10">
        <f t="array" ref="I3:J3">LINEST(E2:E45,A2:A45)</f>
        <v>2.8816067653276961E-2</v>
      </c>
      <c r="J3" s="10">
        <v>-839.91754756871069</v>
      </c>
      <c r="K3" s="10"/>
      <c r="L3" s="10"/>
      <c r="M3" s="10"/>
    </row>
    <row r="4" spans="1:14" x14ac:dyDescent="0.25">
      <c r="A4" s="13">
        <v>43486</v>
      </c>
      <c r="B4" s="11">
        <v>421.25</v>
      </c>
      <c r="C4" s="11">
        <v>424.8</v>
      </c>
      <c r="D4" s="11">
        <v>404.6</v>
      </c>
      <c r="E4" s="11">
        <v>414</v>
      </c>
      <c r="F4" s="11">
        <v>25668140</v>
      </c>
      <c r="G4" s="10"/>
      <c r="H4" s="10"/>
      <c r="I4" s="10"/>
      <c r="J4" s="17" t="s">
        <v>20</v>
      </c>
      <c r="K4" s="14">
        <f>I3</f>
        <v>2.8816067653276961E-2</v>
      </c>
      <c r="L4" s="14" t="s">
        <v>21</v>
      </c>
      <c r="M4" s="14">
        <f>J3</f>
        <v>-839.91754756871069</v>
      </c>
      <c r="N4" s="5"/>
    </row>
    <row r="5" spans="1:14" x14ac:dyDescent="0.25">
      <c r="A5" s="13">
        <v>43493</v>
      </c>
      <c r="B5" s="11">
        <v>412.8</v>
      </c>
      <c r="C5" s="11">
        <v>418.6</v>
      </c>
      <c r="D5" s="11">
        <v>406.3</v>
      </c>
      <c r="E5" s="11">
        <v>411.95</v>
      </c>
      <c r="F5" s="11">
        <v>17624240</v>
      </c>
      <c r="G5" s="10"/>
      <c r="H5" s="10"/>
      <c r="I5" s="15"/>
      <c r="J5" s="15"/>
      <c r="K5" s="14"/>
      <c r="L5" s="14"/>
      <c r="M5" s="14"/>
      <c r="N5" s="5"/>
    </row>
    <row r="6" spans="1:14" x14ac:dyDescent="0.25">
      <c r="A6" s="13">
        <v>43500</v>
      </c>
      <c r="B6" s="11">
        <v>412.9</v>
      </c>
      <c r="C6" s="11">
        <v>429.75</v>
      </c>
      <c r="D6" s="11">
        <v>408.5</v>
      </c>
      <c r="E6" s="11">
        <v>411.6</v>
      </c>
      <c r="F6" s="11">
        <v>23884450</v>
      </c>
      <c r="G6" s="10"/>
      <c r="H6" s="10"/>
      <c r="I6" s="16"/>
      <c r="J6" s="16"/>
      <c r="K6" s="14"/>
      <c r="L6" s="14"/>
      <c r="M6" s="14"/>
      <c r="N6" s="5"/>
    </row>
    <row r="7" spans="1:14" x14ac:dyDescent="0.25">
      <c r="A7" s="13">
        <v>43507</v>
      </c>
      <c r="B7" s="11">
        <v>412.5</v>
      </c>
      <c r="C7" s="11">
        <v>418.75</v>
      </c>
      <c r="D7" s="11">
        <v>390.75</v>
      </c>
      <c r="E7" s="11">
        <v>403.5</v>
      </c>
      <c r="F7" s="11">
        <v>27356580</v>
      </c>
      <c r="G7" s="10"/>
      <c r="H7" s="10"/>
      <c r="I7" s="16"/>
      <c r="J7" s="16"/>
      <c r="K7" s="14"/>
      <c r="L7" s="14"/>
      <c r="M7" s="14"/>
      <c r="N7" s="5"/>
    </row>
    <row r="8" spans="1:14" x14ac:dyDescent="0.25">
      <c r="A8" s="13">
        <v>43514</v>
      </c>
      <c r="B8" s="11">
        <v>403.55</v>
      </c>
      <c r="C8" s="11">
        <v>408.35</v>
      </c>
      <c r="D8" s="11">
        <v>394.4</v>
      </c>
      <c r="E8" s="11">
        <v>401.5</v>
      </c>
      <c r="F8" s="11">
        <v>15685130</v>
      </c>
      <c r="G8" s="10"/>
      <c r="H8" s="10"/>
      <c r="I8" s="16"/>
      <c r="J8" s="16"/>
      <c r="K8" s="14"/>
      <c r="L8" s="14"/>
      <c r="M8" s="14"/>
      <c r="N8" s="5"/>
    </row>
    <row r="9" spans="1:14" x14ac:dyDescent="0.25">
      <c r="A9" s="13">
        <v>43521</v>
      </c>
      <c r="B9" s="11">
        <v>400.45</v>
      </c>
      <c r="C9" s="11">
        <v>404.15</v>
      </c>
      <c r="D9" s="11">
        <v>392.7</v>
      </c>
      <c r="E9" s="11">
        <v>398.25</v>
      </c>
      <c r="F9" s="11">
        <v>14495920</v>
      </c>
      <c r="G9" s="10"/>
      <c r="H9" s="10"/>
      <c r="I9" s="16"/>
      <c r="J9" s="16"/>
      <c r="K9" s="14"/>
      <c r="L9" s="14"/>
      <c r="M9" s="14"/>
      <c r="N9" s="5"/>
    </row>
    <row r="10" spans="1:14" x14ac:dyDescent="0.25">
      <c r="A10" s="13">
        <v>43528</v>
      </c>
      <c r="B10" s="11">
        <v>399.45</v>
      </c>
      <c r="C10" s="11">
        <v>403</v>
      </c>
      <c r="D10" s="11">
        <v>394.55</v>
      </c>
      <c r="E10" s="11">
        <v>402</v>
      </c>
      <c r="F10" s="11">
        <v>8491370</v>
      </c>
      <c r="G10" s="10"/>
      <c r="H10" s="10"/>
      <c r="I10" s="16"/>
      <c r="J10" s="16"/>
      <c r="K10" s="14"/>
      <c r="L10" s="14"/>
      <c r="M10" s="14"/>
      <c r="N10" s="5"/>
    </row>
    <row r="11" spans="1:14" x14ac:dyDescent="0.25">
      <c r="A11" s="13">
        <v>43535</v>
      </c>
      <c r="B11" s="11">
        <v>401.95</v>
      </c>
      <c r="C11" s="11">
        <v>407.8</v>
      </c>
      <c r="D11" s="11">
        <v>395</v>
      </c>
      <c r="E11" s="11">
        <v>401.25</v>
      </c>
      <c r="F11" s="11">
        <v>16471160</v>
      </c>
      <c r="G11" s="10"/>
      <c r="H11" s="10"/>
      <c r="I11" s="14"/>
      <c r="J11" s="14"/>
      <c r="K11" s="14"/>
      <c r="L11" s="14"/>
      <c r="M11" s="14"/>
      <c r="N11" s="5"/>
    </row>
    <row r="12" spans="1:14" x14ac:dyDescent="0.25">
      <c r="A12" s="13">
        <v>43542</v>
      </c>
      <c r="B12" s="11">
        <v>399.15</v>
      </c>
      <c r="C12" s="11">
        <v>410.7</v>
      </c>
      <c r="D12" s="11">
        <v>396.2</v>
      </c>
      <c r="E12" s="11">
        <v>408.4</v>
      </c>
      <c r="F12" s="11">
        <v>16329110</v>
      </c>
      <c r="G12" s="10"/>
      <c r="H12" s="10"/>
      <c r="I12" s="14"/>
      <c r="J12" s="14"/>
      <c r="K12" s="14"/>
      <c r="L12" s="14"/>
      <c r="M12" s="14"/>
      <c r="N12" s="5"/>
    </row>
    <row r="13" spans="1:14" x14ac:dyDescent="0.25">
      <c r="A13" s="13">
        <v>43549</v>
      </c>
      <c r="B13" s="11">
        <v>405.7</v>
      </c>
      <c r="C13" s="11">
        <v>412.9</v>
      </c>
      <c r="D13" s="11">
        <v>400</v>
      </c>
      <c r="E13" s="11">
        <v>412</v>
      </c>
      <c r="F13" s="11">
        <v>14561970</v>
      </c>
      <c r="G13" s="10"/>
      <c r="H13" s="10"/>
      <c r="I13" s="15"/>
      <c r="J13" s="15"/>
      <c r="K13" s="15"/>
      <c r="L13" s="15"/>
      <c r="M13" s="15"/>
      <c r="N13" s="6"/>
    </row>
    <row r="14" spans="1:14" x14ac:dyDescent="0.25">
      <c r="A14" s="13">
        <v>43556</v>
      </c>
      <c r="B14" s="11">
        <v>413.15</v>
      </c>
      <c r="C14" s="11">
        <v>425.75</v>
      </c>
      <c r="D14" s="11">
        <v>411.9</v>
      </c>
      <c r="E14" s="11">
        <v>421.5</v>
      </c>
      <c r="F14" s="11">
        <v>14904450</v>
      </c>
      <c r="G14" s="10"/>
      <c r="H14" s="10"/>
      <c r="I14" s="16"/>
      <c r="J14" s="16"/>
      <c r="K14" s="16"/>
      <c r="L14" s="16"/>
      <c r="M14" s="16"/>
      <c r="N14" s="4"/>
    </row>
    <row r="15" spans="1:14" x14ac:dyDescent="0.25">
      <c r="A15" s="13">
        <v>43563</v>
      </c>
      <c r="B15" s="11">
        <v>422.85</v>
      </c>
      <c r="C15" s="11">
        <v>437.25</v>
      </c>
      <c r="D15" s="11">
        <v>413.6</v>
      </c>
      <c r="E15" s="11">
        <v>432.5</v>
      </c>
      <c r="F15" s="11">
        <v>20192110</v>
      </c>
      <c r="G15" s="10"/>
      <c r="H15" s="10"/>
      <c r="I15" s="16"/>
      <c r="J15" s="16"/>
      <c r="K15" s="16"/>
      <c r="L15" s="16"/>
      <c r="M15" s="16"/>
      <c r="N15" s="4"/>
    </row>
    <row r="16" spans="1:14" x14ac:dyDescent="0.25">
      <c r="A16" s="13">
        <v>43570</v>
      </c>
      <c r="B16" s="11">
        <v>432.2</v>
      </c>
      <c r="C16" s="11">
        <v>441</v>
      </c>
      <c r="D16" s="11">
        <v>426.4</v>
      </c>
      <c r="E16" s="11">
        <v>432</v>
      </c>
      <c r="F16" s="11">
        <v>15143790</v>
      </c>
      <c r="G16" s="10"/>
      <c r="H16" s="10"/>
      <c r="I16" s="16"/>
      <c r="J16" s="16"/>
      <c r="K16" s="16"/>
      <c r="L16" s="16"/>
      <c r="M16" s="16"/>
      <c r="N16" s="4"/>
    </row>
    <row r="17" spans="1:14" x14ac:dyDescent="0.25">
      <c r="A17" s="13">
        <v>43577</v>
      </c>
      <c r="B17" s="11">
        <v>434.3</v>
      </c>
      <c r="C17" s="11">
        <v>449</v>
      </c>
      <c r="D17" s="11">
        <v>428.05</v>
      </c>
      <c r="E17" s="11">
        <v>434.45</v>
      </c>
      <c r="F17" s="11">
        <v>18861920</v>
      </c>
      <c r="G17" s="10"/>
      <c r="H17" s="10"/>
      <c r="I17" s="14"/>
      <c r="J17" s="14"/>
      <c r="K17" s="14"/>
      <c r="L17" s="14"/>
      <c r="M17" s="14"/>
      <c r="N17" s="5"/>
    </row>
    <row r="18" spans="1:14" x14ac:dyDescent="0.25">
      <c r="A18" s="13">
        <v>43584</v>
      </c>
      <c r="B18" s="11">
        <v>433.35</v>
      </c>
      <c r="C18" s="11">
        <v>435.75</v>
      </c>
      <c r="D18" s="11">
        <v>421.8</v>
      </c>
      <c r="E18" s="11">
        <v>423.55</v>
      </c>
      <c r="F18" s="11">
        <v>9774710</v>
      </c>
      <c r="G18" s="10"/>
      <c r="H18" s="10"/>
      <c r="I18" s="14"/>
      <c r="J18" s="14"/>
      <c r="K18" s="14"/>
      <c r="L18" s="14"/>
      <c r="M18" s="14"/>
      <c r="N18" s="5"/>
    </row>
    <row r="19" spans="1:14" x14ac:dyDescent="0.25">
      <c r="A19" s="13">
        <v>43591</v>
      </c>
      <c r="B19" s="11">
        <v>421.2</v>
      </c>
      <c r="C19" s="11">
        <v>427.25</v>
      </c>
      <c r="D19" s="11">
        <v>413.55</v>
      </c>
      <c r="E19" s="11">
        <v>413.75</v>
      </c>
      <c r="F19" s="11">
        <v>8715190</v>
      </c>
      <c r="G19" s="10"/>
      <c r="H19" s="10"/>
      <c r="I19" s="10"/>
      <c r="J19" s="10"/>
      <c r="K19" s="10"/>
      <c r="L19" s="10"/>
      <c r="M19" s="10"/>
    </row>
    <row r="20" spans="1:14" x14ac:dyDescent="0.25">
      <c r="A20" s="13">
        <v>43598</v>
      </c>
      <c r="B20" s="11">
        <v>415.1</v>
      </c>
      <c r="C20" s="11">
        <v>423.05</v>
      </c>
      <c r="D20" s="11">
        <v>410.6</v>
      </c>
      <c r="E20" s="11">
        <v>413</v>
      </c>
      <c r="F20" s="11">
        <v>17047440</v>
      </c>
      <c r="G20" s="10"/>
      <c r="H20" s="10"/>
      <c r="I20" s="10"/>
      <c r="J20" s="10"/>
      <c r="K20" s="10"/>
      <c r="L20" s="10"/>
      <c r="M20" s="10"/>
    </row>
    <row r="21" spans="1:14" x14ac:dyDescent="0.25">
      <c r="A21" s="13">
        <v>43605</v>
      </c>
      <c r="B21" s="11">
        <v>414</v>
      </c>
      <c r="C21" s="11">
        <v>427.85</v>
      </c>
      <c r="D21" s="11">
        <v>408</v>
      </c>
      <c r="E21" s="11">
        <v>423</v>
      </c>
      <c r="F21" s="11">
        <v>16535070</v>
      </c>
      <c r="G21" s="10"/>
      <c r="H21" s="10"/>
      <c r="I21" s="10"/>
      <c r="J21" s="10"/>
      <c r="K21" s="10"/>
      <c r="L21" s="10"/>
      <c r="M21" s="10"/>
    </row>
    <row r="22" spans="1:14" x14ac:dyDescent="0.25">
      <c r="A22" s="13">
        <v>43612</v>
      </c>
      <c r="B22" s="11">
        <v>422.6</v>
      </c>
      <c r="C22" s="11">
        <v>440.95</v>
      </c>
      <c r="D22" s="11">
        <v>422.3</v>
      </c>
      <c r="E22" s="11">
        <v>433</v>
      </c>
      <c r="F22" s="11">
        <v>20832640</v>
      </c>
      <c r="G22" s="10"/>
      <c r="H22" s="10"/>
      <c r="I22" s="10"/>
      <c r="J22" s="10"/>
      <c r="K22" s="10"/>
      <c r="L22" s="10"/>
      <c r="M22" s="10"/>
    </row>
    <row r="23" spans="1:14" x14ac:dyDescent="0.25">
      <c r="A23" s="13">
        <v>43619</v>
      </c>
      <c r="B23" s="11">
        <v>429</v>
      </c>
      <c r="C23" s="11">
        <v>445.05</v>
      </c>
      <c r="D23" s="11">
        <v>419.3</v>
      </c>
      <c r="E23" s="11">
        <v>419.55</v>
      </c>
      <c r="F23" s="11">
        <v>24512890</v>
      </c>
      <c r="G23" s="10"/>
      <c r="H23" s="10"/>
      <c r="I23" s="10"/>
      <c r="J23" s="10"/>
      <c r="K23" s="10"/>
      <c r="L23" s="10"/>
      <c r="M23" s="10"/>
    </row>
    <row r="24" spans="1:14" x14ac:dyDescent="0.25">
      <c r="A24" s="13">
        <v>43626</v>
      </c>
      <c r="B24" s="11">
        <v>421.8</v>
      </c>
      <c r="C24" s="11">
        <v>425.6</v>
      </c>
      <c r="D24" s="11">
        <v>408</v>
      </c>
      <c r="E24" s="11">
        <v>408</v>
      </c>
      <c r="F24" s="11">
        <v>18138440</v>
      </c>
      <c r="G24" s="10"/>
      <c r="H24" s="10"/>
      <c r="I24" s="10"/>
      <c r="J24" s="10"/>
      <c r="K24" s="10"/>
      <c r="L24" s="10"/>
      <c r="M24" s="10"/>
    </row>
    <row r="25" spans="1:14" x14ac:dyDescent="0.25">
      <c r="A25" s="13">
        <v>43633</v>
      </c>
      <c r="B25" s="11">
        <v>409.15</v>
      </c>
      <c r="C25" s="11">
        <v>420</v>
      </c>
      <c r="D25" s="11">
        <v>407.1</v>
      </c>
      <c r="E25" s="11">
        <v>419.1</v>
      </c>
      <c r="F25" s="11">
        <v>27534660</v>
      </c>
      <c r="G25" s="10"/>
      <c r="H25" s="10"/>
      <c r="I25" s="10"/>
      <c r="J25" s="10"/>
      <c r="K25" s="10"/>
      <c r="L25" s="10"/>
      <c r="M25" s="10"/>
    </row>
    <row r="26" spans="1:14" x14ac:dyDescent="0.25">
      <c r="A26" s="13">
        <v>43640</v>
      </c>
      <c r="B26" s="11">
        <v>419</v>
      </c>
      <c r="C26" s="11">
        <v>420.75</v>
      </c>
      <c r="D26" s="11">
        <v>410.4</v>
      </c>
      <c r="E26" s="11">
        <v>414.5</v>
      </c>
      <c r="F26" s="11">
        <v>13819270</v>
      </c>
      <c r="G26" s="10"/>
      <c r="H26" s="10"/>
      <c r="I26" s="10"/>
      <c r="J26" s="10"/>
      <c r="K26" s="10"/>
      <c r="L26" s="10"/>
      <c r="M26" s="10"/>
    </row>
    <row r="27" spans="1:14" x14ac:dyDescent="0.25">
      <c r="A27" s="13">
        <v>43647</v>
      </c>
      <c r="B27" s="11">
        <v>417</v>
      </c>
      <c r="C27" s="11">
        <v>424.55</v>
      </c>
      <c r="D27" s="11">
        <v>414.75</v>
      </c>
      <c r="E27" s="11">
        <v>418.65</v>
      </c>
      <c r="F27" s="11">
        <v>14042530</v>
      </c>
      <c r="G27" s="10"/>
      <c r="H27" s="10"/>
      <c r="I27" s="10"/>
      <c r="J27" s="10"/>
      <c r="K27" s="10"/>
      <c r="L27" s="10"/>
      <c r="M27" s="10"/>
    </row>
    <row r="28" spans="1:14" x14ac:dyDescent="0.25">
      <c r="A28" s="13">
        <v>43654</v>
      </c>
      <c r="B28" s="11">
        <v>417.9</v>
      </c>
      <c r="C28" s="11">
        <v>425.9</v>
      </c>
      <c r="D28" s="11">
        <v>415.05</v>
      </c>
      <c r="E28" s="11">
        <v>419.25</v>
      </c>
      <c r="F28" s="11">
        <v>13237730</v>
      </c>
      <c r="G28" s="10"/>
      <c r="H28" s="10"/>
      <c r="I28" s="10"/>
      <c r="J28" s="10"/>
      <c r="K28" s="10"/>
      <c r="L28" s="10"/>
      <c r="M28" s="10"/>
    </row>
    <row r="29" spans="1:14" x14ac:dyDescent="0.25">
      <c r="A29" s="13">
        <v>43661</v>
      </c>
      <c r="B29" s="11">
        <v>421.45</v>
      </c>
      <c r="C29" s="11">
        <v>422.3</v>
      </c>
      <c r="D29" s="11">
        <v>416.5</v>
      </c>
      <c r="E29" s="11">
        <v>420.45</v>
      </c>
      <c r="F29" s="11">
        <v>7935820</v>
      </c>
      <c r="G29" s="10"/>
      <c r="H29" s="10"/>
      <c r="I29" s="10"/>
      <c r="J29" s="10"/>
      <c r="K29" s="10"/>
      <c r="L29" s="10"/>
      <c r="M29" s="10"/>
    </row>
    <row r="30" spans="1:14" x14ac:dyDescent="0.25">
      <c r="A30" s="13">
        <v>43668</v>
      </c>
      <c r="B30" s="11">
        <v>417.15</v>
      </c>
      <c r="C30" s="11">
        <v>431.15</v>
      </c>
      <c r="D30" s="11">
        <v>415.25</v>
      </c>
      <c r="E30" s="11">
        <v>423.5</v>
      </c>
      <c r="F30" s="11">
        <v>11306280</v>
      </c>
      <c r="G30" s="10"/>
      <c r="H30" s="10"/>
      <c r="I30" s="10"/>
      <c r="J30" s="10"/>
      <c r="K30" s="10"/>
      <c r="L30" s="10"/>
      <c r="M30" s="10"/>
    </row>
    <row r="31" spans="1:14" x14ac:dyDescent="0.25">
      <c r="A31" s="13">
        <v>43675</v>
      </c>
      <c r="B31" s="11">
        <v>424.45</v>
      </c>
      <c r="C31" s="11">
        <v>425.5</v>
      </c>
      <c r="D31" s="11">
        <v>411.75</v>
      </c>
      <c r="E31" s="11">
        <v>411.75</v>
      </c>
      <c r="F31" s="11">
        <v>10692770</v>
      </c>
      <c r="G31" s="10"/>
      <c r="H31" s="10"/>
      <c r="I31" s="10"/>
      <c r="J31" s="10"/>
      <c r="K31" s="10"/>
      <c r="L31" s="10"/>
      <c r="M31" s="10"/>
    </row>
    <row r="32" spans="1:14" x14ac:dyDescent="0.25">
      <c r="A32" s="13">
        <v>43682</v>
      </c>
      <c r="B32" s="11">
        <v>411.65</v>
      </c>
      <c r="C32" s="11">
        <v>413.85</v>
      </c>
      <c r="D32" s="11">
        <v>404.3</v>
      </c>
      <c r="E32" s="11">
        <v>404.6</v>
      </c>
      <c r="F32" s="11">
        <v>18704170</v>
      </c>
      <c r="G32" s="10"/>
      <c r="H32" s="10"/>
      <c r="I32" s="10"/>
      <c r="J32" s="10"/>
      <c r="K32" s="10"/>
      <c r="L32" s="10"/>
      <c r="M32" s="10"/>
    </row>
    <row r="33" spans="1:13" x14ac:dyDescent="0.25">
      <c r="A33" s="13">
        <v>43689</v>
      </c>
      <c r="B33" s="11">
        <v>405</v>
      </c>
      <c r="C33" s="11">
        <v>408.45</v>
      </c>
      <c r="D33" s="11">
        <v>397.7</v>
      </c>
      <c r="E33" s="11">
        <v>404.75</v>
      </c>
      <c r="F33" s="11">
        <v>18304740</v>
      </c>
      <c r="G33" s="10"/>
      <c r="H33" s="10"/>
      <c r="I33" s="10"/>
      <c r="J33" s="10"/>
      <c r="K33" s="10"/>
      <c r="L33" s="10"/>
      <c r="M33" s="10"/>
    </row>
    <row r="34" spans="1:13" x14ac:dyDescent="0.25">
      <c r="A34" s="13">
        <v>43696</v>
      </c>
      <c r="B34" s="11">
        <v>406.5</v>
      </c>
      <c r="C34" s="11">
        <v>416.05</v>
      </c>
      <c r="D34" s="11">
        <v>402.3</v>
      </c>
      <c r="E34" s="11">
        <v>405.6</v>
      </c>
      <c r="F34" s="11">
        <v>20316670</v>
      </c>
      <c r="G34" s="10"/>
      <c r="H34" s="10"/>
      <c r="I34" s="10"/>
      <c r="J34" s="10"/>
      <c r="K34" s="10"/>
      <c r="L34" s="10"/>
      <c r="M34" s="10"/>
    </row>
    <row r="35" spans="1:13" x14ac:dyDescent="0.25">
      <c r="A35" s="13">
        <v>43703</v>
      </c>
      <c r="B35" s="11">
        <v>403</v>
      </c>
      <c r="C35" s="11">
        <v>409.35</v>
      </c>
      <c r="D35" s="11">
        <v>402.95</v>
      </c>
      <c r="E35" s="11">
        <v>406.95</v>
      </c>
      <c r="F35" s="11">
        <v>17023520</v>
      </c>
      <c r="G35" s="10"/>
      <c r="H35" s="10"/>
      <c r="I35" s="10"/>
      <c r="J35" s="10"/>
      <c r="K35" s="10"/>
      <c r="L35" s="10"/>
      <c r="M35" s="10"/>
    </row>
    <row r="36" spans="1:13" x14ac:dyDescent="0.25">
      <c r="A36" s="13">
        <v>43710</v>
      </c>
      <c r="B36" s="11">
        <v>407</v>
      </c>
      <c r="C36" s="11">
        <v>422.9</v>
      </c>
      <c r="D36" s="11">
        <v>406</v>
      </c>
      <c r="E36" s="11">
        <v>422.9</v>
      </c>
      <c r="F36" s="11">
        <v>21537380</v>
      </c>
      <c r="G36" s="10"/>
      <c r="H36" s="10"/>
      <c r="I36" s="10"/>
      <c r="J36" s="10"/>
      <c r="K36" s="10"/>
      <c r="L36" s="10"/>
      <c r="M36" s="10"/>
    </row>
    <row r="37" spans="1:13" x14ac:dyDescent="0.25">
      <c r="A37" s="13">
        <v>43717</v>
      </c>
      <c r="B37" s="11">
        <v>423.55</v>
      </c>
      <c r="C37" s="11">
        <v>424.45</v>
      </c>
      <c r="D37" s="11">
        <v>408.85</v>
      </c>
      <c r="E37" s="11">
        <v>410.05</v>
      </c>
      <c r="F37" s="11">
        <v>18394510</v>
      </c>
      <c r="G37" s="10"/>
      <c r="H37" s="10"/>
      <c r="I37" s="10"/>
      <c r="J37" s="10"/>
      <c r="K37" s="10"/>
      <c r="L37" s="10"/>
      <c r="M37" s="10"/>
    </row>
    <row r="38" spans="1:13" x14ac:dyDescent="0.25">
      <c r="A38" s="13">
        <v>43724</v>
      </c>
      <c r="B38" s="11">
        <v>418.55</v>
      </c>
      <c r="C38" s="11">
        <v>440.9</v>
      </c>
      <c r="D38" s="11">
        <v>415.05</v>
      </c>
      <c r="E38" s="11">
        <v>428.3</v>
      </c>
      <c r="F38" s="11">
        <v>45260440</v>
      </c>
      <c r="G38" s="10"/>
      <c r="H38" s="10"/>
      <c r="I38" s="10"/>
      <c r="J38" s="10"/>
      <c r="K38" s="10"/>
      <c r="L38" s="10"/>
      <c r="M38" s="10"/>
    </row>
    <row r="39" spans="1:13" x14ac:dyDescent="0.25">
      <c r="A39" s="13">
        <v>43731</v>
      </c>
      <c r="B39" s="11">
        <v>428.3</v>
      </c>
      <c r="C39" s="11">
        <v>431.5</v>
      </c>
      <c r="D39" s="11">
        <v>421.85</v>
      </c>
      <c r="E39" s="11">
        <v>422.5</v>
      </c>
      <c r="F39" s="11">
        <v>16660060</v>
      </c>
      <c r="G39" s="10"/>
      <c r="H39" s="10"/>
      <c r="I39" s="10"/>
      <c r="J39" s="10"/>
      <c r="K39" s="10"/>
      <c r="L39" s="10"/>
      <c r="M39" s="10"/>
    </row>
    <row r="40" spans="1:13" x14ac:dyDescent="0.25">
      <c r="A40" s="13">
        <v>43738</v>
      </c>
      <c r="B40" s="11">
        <v>422.2</v>
      </c>
      <c r="C40" s="11">
        <v>423.25</v>
      </c>
      <c r="D40" s="11">
        <v>410.7</v>
      </c>
      <c r="E40" s="11">
        <v>415</v>
      </c>
      <c r="F40" s="11">
        <v>14876320</v>
      </c>
      <c r="G40" s="10"/>
      <c r="H40" s="10"/>
      <c r="I40" s="10"/>
      <c r="J40" s="10"/>
      <c r="K40" s="10"/>
      <c r="L40" s="10"/>
      <c r="M40" s="10"/>
    </row>
    <row r="41" spans="1:13" x14ac:dyDescent="0.25">
      <c r="A41" s="13">
        <v>43745</v>
      </c>
      <c r="B41" s="11">
        <v>416.65</v>
      </c>
      <c r="C41" s="11">
        <v>422.9</v>
      </c>
      <c r="D41" s="11">
        <v>407.05</v>
      </c>
      <c r="E41" s="11">
        <v>411.65</v>
      </c>
      <c r="F41" s="11">
        <v>17364530</v>
      </c>
      <c r="G41" s="10"/>
      <c r="H41" s="10"/>
      <c r="I41" s="10"/>
      <c r="J41" s="10"/>
      <c r="K41" s="10"/>
      <c r="L41" s="10"/>
      <c r="M41" s="10"/>
    </row>
    <row r="42" spans="1:13" x14ac:dyDescent="0.25">
      <c r="A42" s="13">
        <v>43752</v>
      </c>
      <c r="B42" s="11">
        <v>411.65</v>
      </c>
      <c r="C42" s="11">
        <v>418.6</v>
      </c>
      <c r="D42" s="11">
        <v>410.25</v>
      </c>
      <c r="E42" s="11">
        <v>415</v>
      </c>
      <c r="F42" s="11">
        <v>11773540</v>
      </c>
      <c r="G42" s="10"/>
      <c r="H42" s="10"/>
      <c r="I42" s="10"/>
      <c r="J42" s="10"/>
      <c r="K42" s="10"/>
      <c r="L42" s="10"/>
      <c r="M42" s="10"/>
    </row>
    <row r="43" spans="1:13" x14ac:dyDescent="0.25">
      <c r="A43" s="13">
        <v>43759</v>
      </c>
      <c r="B43" s="11">
        <v>415</v>
      </c>
      <c r="C43" s="11">
        <v>422.5</v>
      </c>
      <c r="D43" s="11">
        <v>411.5</v>
      </c>
      <c r="E43" s="11">
        <v>421.35</v>
      </c>
      <c r="F43" s="11">
        <v>16653910</v>
      </c>
      <c r="G43" s="10"/>
      <c r="H43" s="10"/>
      <c r="I43" s="10"/>
      <c r="J43" s="10"/>
      <c r="K43" s="10"/>
      <c r="L43" s="10"/>
      <c r="M43" s="10"/>
    </row>
    <row r="44" spans="1:13" x14ac:dyDescent="0.25">
      <c r="A44" s="13">
        <v>43766</v>
      </c>
      <c r="B44" s="11">
        <v>422.2</v>
      </c>
      <c r="C44" s="11">
        <v>435.5</v>
      </c>
      <c r="D44" s="11">
        <v>419.1</v>
      </c>
      <c r="E44" s="11">
        <v>434.4</v>
      </c>
      <c r="F44" s="11">
        <v>20926680</v>
      </c>
      <c r="G44" s="10"/>
      <c r="H44" s="10"/>
      <c r="I44" s="10"/>
      <c r="J44" s="10"/>
      <c r="K44" s="10"/>
      <c r="L44" s="10"/>
      <c r="M44" s="10"/>
    </row>
    <row r="45" spans="1:13" x14ac:dyDescent="0.25">
      <c r="A45" s="13">
        <v>43773</v>
      </c>
      <c r="B45" s="11">
        <v>437.8</v>
      </c>
      <c r="C45" s="11">
        <v>453.45</v>
      </c>
      <c r="D45" s="11">
        <v>434.45</v>
      </c>
      <c r="E45" s="11">
        <v>449.6</v>
      </c>
      <c r="F45" s="11">
        <v>5007930</v>
      </c>
      <c r="G45" s="10"/>
      <c r="H45" s="10"/>
      <c r="I45" s="10"/>
      <c r="J45" s="10"/>
      <c r="K45" s="10"/>
      <c r="L45" s="10"/>
      <c r="M45" s="10"/>
    </row>
  </sheetData>
  <mergeCells count="1">
    <mergeCell ref="G1:I1"/>
  </mergeCells>
  <hyperlinks>
    <hyperlink ref="G1" location="'2'!A1" display="Вернуться к оглавлению.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1</vt:lpstr>
      <vt:lpstr>2</vt:lpstr>
      <vt:lpstr>3</vt:lpstr>
      <vt:lpstr>4</vt:lpstr>
      <vt:lpstr>5</vt:lpstr>
      <vt:lpstr>6</vt:lpstr>
      <vt:lpstr>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Рамиль</cp:lastModifiedBy>
  <dcterms:created xsi:type="dcterms:W3CDTF">2019-11-05T11:17:13Z</dcterms:created>
  <dcterms:modified xsi:type="dcterms:W3CDTF">2019-12-08T19:02:24Z</dcterms:modified>
</cp:coreProperties>
</file>