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скретная логика" sheetId="1" state="visible" r:id="rId1"/>
    <sheet xmlns:r="http://schemas.openxmlformats.org/officeDocument/2006/relationships" name="Аналоговый сигна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9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ТАБЛИЦА ИСТИННОСТИ БАЗОВЫХ ЛОГИЧЕСКИХ ОПЕРАЦИЙ (ЧАСТЬ 2)</t>
        </is>
      </c>
    </row>
    <row r="2" ht="24" customHeight="1">
      <c r="A2" s="2" t="inlineStr">
        <is>
          <t>Вход A</t>
        </is>
      </c>
      <c r="B2" s="2" t="inlineStr">
        <is>
          <t>Вход B</t>
        </is>
      </c>
      <c r="C2" s="2" t="inlineStr">
        <is>
          <t>A И B (AND)</t>
        </is>
      </c>
      <c r="D2" s="2" t="inlineStr">
        <is>
          <t>A ИЛИ B (OR)</t>
        </is>
      </c>
      <c r="E2" s="2" t="inlineStr">
        <is>
          <t>НЕ A (NOT)</t>
        </is>
      </c>
      <c r="F2" s="2" t="inlineStr">
        <is>
          <t>A XOR B (XOR)</t>
        </is>
      </c>
    </row>
    <row r="3" ht="20" customHeight="1">
      <c r="A3" s="3" t="n">
        <v>0</v>
      </c>
      <c r="B3" s="3" t="n">
        <v>0</v>
      </c>
      <c r="C3" s="3">
        <f>1*(AND(A3=1,B3=1))</f>
        <v/>
      </c>
      <c r="D3" s="3">
        <f>1*(OR(A3=1,B3=1))</f>
        <v/>
      </c>
      <c r="E3" s="3">
        <f>1*(NOT(A3=1))</f>
        <v/>
      </c>
      <c r="F3" s="3">
        <f>1*(XOR(A3=1,B3=1))</f>
        <v/>
      </c>
    </row>
    <row r="4" ht="20" customHeight="1">
      <c r="A4" s="3" t="n">
        <v>0</v>
      </c>
      <c r="B4" s="3" t="n">
        <v>1</v>
      </c>
      <c r="C4" s="3">
        <f>1*(AND(A4=1,B4=1))</f>
        <v/>
      </c>
      <c r="D4" s="3">
        <f>1*(OR(A4=1,B4=1))</f>
        <v/>
      </c>
      <c r="E4" s="3">
        <f>1*(NOT(A4=1))</f>
        <v/>
      </c>
      <c r="F4" s="3">
        <f>1*(XOR(A4=1,B4=1))</f>
        <v/>
      </c>
    </row>
    <row r="5" ht="20" customHeight="1">
      <c r="A5" s="3" t="n">
        <v>1</v>
      </c>
      <c r="B5" s="3" t="n">
        <v>0</v>
      </c>
      <c r="C5" s="3">
        <f>1*(AND(A5=1,B5=1))</f>
        <v/>
      </c>
      <c r="D5" s="3">
        <f>1*(OR(A5=1,B5=1))</f>
        <v/>
      </c>
      <c r="E5" s="3">
        <f>1*(NOT(A5=1))</f>
        <v/>
      </c>
      <c r="F5" s="3">
        <f>1*(XOR(A5=1,B5=1))</f>
        <v/>
      </c>
    </row>
    <row r="6" ht="20" customHeight="1">
      <c r="A6" s="3" t="n">
        <v>1</v>
      </c>
      <c r="B6" s="3" t="n">
        <v>1</v>
      </c>
      <c r="C6" s="3">
        <f>1*(AND(A6=1,B6=1))</f>
        <v/>
      </c>
      <c r="D6" s="3">
        <f>1*(OR(A6=1,B6=1))</f>
        <v/>
      </c>
      <c r="E6" s="3">
        <f>1*(NOT(A6=1))</f>
        <v/>
      </c>
      <c r="F6" s="3">
        <f>1*(XOR(A6=1,B6=1))</f>
        <v/>
      </c>
    </row>
    <row r="8">
      <c r="A8" s="4" t="inlineStr">
        <is>
          <t>Используемые формулы Excel:</t>
        </is>
      </c>
    </row>
    <row r="9">
      <c r="A9" s="5" t="inlineStr">
        <is>
          <t>Логическое И (AND)</t>
        </is>
      </c>
      <c r="B9" s="5">
        <f>1*(AND(A3=1; B3=1)) или =A3*B3</f>
        <v/>
      </c>
    </row>
    <row r="10">
      <c r="A10" s="5" t="inlineStr">
        <is>
          <t>Логическое ИЛИ (OR)</t>
        </is>
      </c>
      <c r="B10" s="5">
        <f>1*(OR(A3=1; B3=1))</f>
        <v/>
      </c>
    </row>
    <row r="11">
      <c r="A11" s="5" t="inlineStr">
        <is>
          <t>Логическое НЕ (NOT)</t>
        </is>
      </c>
      <c r="B11" s="5">
        <f>1*(NOT(A3=1))</f>
        <v/>
      </c>
    </row>
    <row r="12">
      <c r="A12" s="5" t="inlineStr">
        <is>
          <t>Исключающее ИЛИ (XOR)</t>
        </is>
      </c>
      <c r="B12" s="5">
        <f>1*(XOR(A3=1; B3=1))</f>
        <v/>
      </c>
    </row>
    <row r="15">
      <c r="A15" s="6" t="inlineStr">
        <is>
          <t>РЕЗУЛЬТАТЫ СЦЕНАРИЕВ МОДЕЛИРОВАНИЯ ПЛК (lab1_discrete.py)</t>
        </is>
      </c>
    </row>
    <row r="16">
      <c r="A16" s="2" t="inlineStr">
        <is>
          <t>Сценарий</t>
        </is>
      </c>
      <c r="B16" s="2" t="inlineStr">
        <is>
          <t>DI0 (Пуск)</t>
        </is>
      </c>
      <c r="C16" s="2" t="inlineStr">
        <is>
          <t>DI1 (Стоп)</t>
        </is>
      </c>
      <c r="D16" s="2" t="inlineStr">
        <is>
          <t>DI2</t>
        </is>
      </c>
      <c r="E16" s="2" t="inlineStr">
        <is>
          <t>DI3</t>
        </is>
      </c>
      <c r="F16" s="2" t="inlineStr">
        <is>
          <t>DQ0 (Самоблок)</t>
        </is>
      </c>
      <c r="G16" s="2" t="inlineStr">
        <is>
          <t>Примечание</t>
        </is>
      </c>
    </row>
    <row r="17">
      <c r="A17" s="7" t="inlineStr">
        <is>
          <t>Сценарий 1: Нажатие пуска</t>
        </is>
      </c>
      <c r="B17" s="3" t="n">
        <v>1</v>
      </c>
      <c r="C17" s="3" t="n">
        <v>0</v>
      </c>
      <c r="D17" s="3" t="n">
        <v>0</v>
      </c>
      <c r="E17" s="3" t="n">
        <v>0</v>
      </c>
      <c r="F17" s="3" t="n">
        <v>1</v>
      </c>
      <c r="G17" s="7" t="inlineStr">
        <is>
          <t>Включение выхода DQ0, счётчик=1</t>
        </is>
      </c>
    </row>
    <row r="18">
      <c r="A18" s="7" t="inlineStr">
        <is>
          <t>Сценарий 2: Отпускание пуска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7" t="inlineStr">
        <is>
          <t>Самоблокировка удерживает DQ0=1</t>
        </is>
      </c>
    </row>
    <row r="19">
      <c r="A19" s="7" t="inlineStr">
        <is>
          <t>Сценарий 3: Нажатие стопа</t>
        </is>
      </c>
      <c r="B19" s="3" t="n">
        <v>0</v>
      </c>
      <c r="C19" s="3" t="n">
        <v>1</v>
      </c>
      <c r="D19" s="3" t="n">
        <v>0</v>
      </c>
      <c r="E19" s="3" t="n">
        <v>0</v>
      </c>
      <c r="F19" s="3" t="n">
        <v>0</v>
      </c>
      <c r="G19" s="7" t="inlineStr">
        <is>
          <t>Сброс выхода DQ0=0 (приоритет стопа)</t>
        </is>
      </c>
    </row>
    <row r="20">
      <c r="A20" s="7" t="inlineStr">
        <is>
          <t>Сценарий 4: Логика И (DI0 &amp; DI2)</t>
        </is>
      </c>
      <c r="B20" s="3" t="n">
        <v>1</v>
      </c>
      <c r="C20" s="3" t="n">
        <v>0</v>
      </c>
      <c r="D20" s="3" t="n">
        <v>1</v>
      </c>
      <c r="E20" s="3" t="n">
        <v>0</v>
      </c>
      <c r="F20" s="3" t="n">
        <v>1</v>
      </c>
      <c r="G20" s="7" t="inlineStr">
        <is>
          <t>DQ1=1, DQ0=1, счётчик=2</t>
        </is>
      </c>
    </row>
    <row r="21">
      <c r="A21" s="7" t="inlineStr">
        <is>
          <t>Сценарий 5: Логика ИЛИ (DI3)</t>
        </is>
      </c>
      <c r="B21" s="3" t="n">
        <v>0</v>
      </c>
      <c r="C21" s="3" t="n">
        <v>0</v>
      </c>
      <c r="D21" s="3" t="n">
        <v>0</v>
      </c>
      <c r="E21" s="3" t="n">
        <v>1</v>
      </c>
      <c r="F21" s="3" t="n">
        <v>1</v>
      </c>
      <c r="G21" s="7" t="inlineStr">
        <is>
          <t>DQ2=1, DQ0 остаётся в 1</t>
        </is>
      </c>
    </row>
  </sheetData>
  <mergeCells count="2">
    <mergeCell ref="A1:F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МАСШТАБИРОВАНИЕ АНАЛОГОВОГО СИГНАЛА АЦП / ЦАП (ЧАСТЬ 3)</t>
        </is>
      </c>
    </row>
    <row r="2" ht="24" customHeight="1">
      <c r="A2" s="2" t="inlineStr">
        <is>
          <t>Сырое значение АЦП (Raw)</t>
        </is>
      </c>
      <c r="B2" s="2" t="inlineStr">
        <is>
          <t>Текст формулы</t>
        </is>
      </c>
      <c r="C2" s="2" t="inlineStr">
        <is>
          <t>Физическая величина, % (Scale)</t>
        </is>
      </c>
      <c r="D2" s="2" t="inlineStr">
        <is>
          <t>Обратный расчет в ЦАП (Unscale)</t>
        </is>
      </c>
      <c r="E2" s="2" t="inlineStr">
        <is>
          <t>Погрешность</t>
        </is>
      </c>
    </row>
    <row r="3" ht="20" customHeight="1">
      <c r="A3" s="8" t="n">
        <v>0</v>
      </c>
      <c r="B3" s="3">
        <f>A3/27648*100</f>
        <v/>
      </c>
      <c r="C3" s="9">
        <f>A3/27648*100</f>
        <v/>
      </c>
      <c r="D3" s="8">
        <f>INT(C3/100*27648)</f>
        <v/>
      </c>
      <c r="E3" s="10">
        <f>A3-D3</f>
        <v/>
      </c>
    </row>
    <row r="4" ht="20" customHeight="1">
      <c r="A4" s="8" t="n">
        <v>6912</v>
      </c>
      <c r="B4" s="3">
        <f>A4/27648*100</f>
        <v/>
      </c>
      <c r="C4" s="9">
        <f>A4/27648*100</f>
        <v/>
      </c>
      <c r="D4" s="8">
        <f>INT(C4/100*27648)</f>
        <v/>
      </c>
      <c r="E4" s="10">
        <f>A4-D4</f>
        <v/>
      </c>
    </row>
    <row r="5" ht="20" customHeight="1">
      <c r="A5" s="8" t="n">
        <v>13824</v>
      </c>
      <c r="B5" s="3">
        <f>A5/27648*100</f>
        <v/>
      </c>
      <c r="C5" s="9">
        <f>A5/27648*100</f>
        <v/>
      </c>
      <c r="D5" s="8">
        <f>INT(C5/100*27648)</f>
        <v/>
      </c>
      <c r="E5" s="10">
        <f>A5-D5</f>
        <v/>
      </c>
    </row>
    <row r="6" ht="20" customHeight="1">
      <c r="A6" s="8" t="n">
        <v>20736</v>
      </c>
      <c r="B6" s="3">
        <f>A6/27648*100</f>
        <v/>
      </c>
      <c r="C6" s="9">
        <f>A6/27648*100</f>
        <v/>
      </c>
      <c r="D6" s="8">
        <f>INT(C6/100*27648)</f>
        <v/>
      </c>
      <c r="E6" s="10">
        <f>A6-D6</f>
        <v/>
      </c>
    </row>
    <row r="7" ht="20" customHeight="1">
      <c r="A7" s="8" t="n">
        <v>27648</v>
      </c>
      <c r="B7" s="3">
        <f>A7/27648*100</f>
        <v/>
      </c>
      <c r="C7" s="9">
        <f>A7/27648*100</f>
        <v/>
      </c>
      <c r="D7" s="8">
        <f>INT(C7/100*27648)</f>
        <v/>
      </c>
      <c r="E7" s="10">
        <f>A7-D7</f>
        <v/>
      </c>
    </row>
    <row r="10">
      <c r="A10" s="4" t="inlineStr">
        <is>
          <t>Интерактивный калькулятор масштабирования:</t>
        </is>
      </c>
    </row>
    <row r="11">
      <c r="A11" s="2" t="inlineStr">
        <is>
          <t>Параметр</t>
        </is>
      </c>
      <c r="B11" s="2" t="inlineStr">
        <is>
          <t>Значение</t>
        </is>
      </c>
      <c r="C11" s="2" t="inlineStr">
        <is>
          <t>Ед. изм.</t>
        </is>
      </c>
      <c r="D11" s="2" t="inlineStr">
        <is>
          <t>Формула / Описание</t>
        </is>
      </c>
    </row>
    <row r="12">
      <c r="A12" s="11" t="inlineStr">
        <is>
          <t>Входной код АЦП (введите число)</t>
        </is>
      </c>
      <c r="B12" s="12" t="n">
        <v>18500</v>
      </c>
      <c r="C12" s="11" t="inlineStr">
        <is>
          <t>ед. (0..27648)</t>
        </is>
      </c>
      <c r="D12" s="11" t="inlineStr">
        <is>
          <t>Пользовательский ввод</t>
        </is>
      </c>
    </row>
    <row r="13">
      <c r="A13" s="11" t="inlineStr">
        <is>
          <t>Масштабированное значение</t>
        </is>
      </c>
      <c r="B13" s="13">
        <f>B12/27648*100</f>
        <v/>
      </c>
      <c r="C13" s="11" t="inlineStr">
        <is>
          <t>%</t>
        </is>
      </c>
      <c r="D13" s="11">
        <f>B12/27648*100</f>
        <v/>
      </c>
    </row>
    <row r="14">
      <c r="A14" s="11" t="inlineStr">
        <is>
          <t>Физическая величина (0..10 бар)</t>
        </is>
      </c>
      <c r="B14" s="13">
        <f>B13/100*10</f>
        <v/>
      </c>
      <c r="C14" s="11" t="inlineStr">
        <is>
          <t>бар</t>
        </is>
      </c>
      <c r="D14" s="11" t="inlineStr">
        <is>
          <t>Пример: датчик давления 0..10 бар</t>
        </is>
      </c>
    </row>
  </sheetData>
  <mergeCells count="2"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2026-09-29T07:10:29Z</dcterms:created>
  <dcterms:modified xmlns:dcterms="http://purl.org/dc/terms/" xmlns:xsi="http://www.w3.org/2001/XMLSchema-instance" xsi:type="dcterms:W3CDTF">2026-09-29T07:10:29Z</dcterms:modified>
</cp:coreProperties>
</file>