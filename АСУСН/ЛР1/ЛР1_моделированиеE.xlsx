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65e46b09b2f3c2de/Рабочий стол/АСУСН/ЛР1/"/>
    </mc:Choice>
  </mc:AlternateContent>
  <xr:revisionPtr revIDLastSave="0" documentId="8_{A31C9831-3E91-4C5C-8D96-B7D02F4F404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Дискретная логика" sheetId="1" r:id="rId1"/>
    <sheet name="Аналоговый сигнал" sheetId="2" r:id="rId2"/>
  </sheets>
  <calcPr calcId="18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3" i="1"/>
  <c r="D13" i="2"/>
  <c r="B13" i="2"/>
  <c r="B14" i="2" s="1"/>
  <c r="C7" i="2"/>
  <c r="D7" i="2" s="1"/>
  <c r="E7" i="2" s="1"/>
  <c r="B7" i="2"/>
  <c r="C6" i="2"/>
  <c r="D6" i="2" s="1"/>
  <c r="E6" i="2" s="1"/>
  <c r="B6" i="2"/>
  <c r="C5" i="2"/>
  <c r="D5" i="2" s="1"/>
  <c r="E5" i="2" s="1"/>
  <c r="B5" i="2"/>
  <c r="C4" i="2"/>
  <c r="D4" i="2" s="1"/>
  <c r="E4" i="2" s="1"/>
  <c r="B4" i="2"/>
  <c r="C3" i="2"/>
  <c r="D3" i="2" s="1"/>
  <c r="E3" i="2" s="1"/>
  <c r="B3" i="2"/>
  <c r="E6" i="1"/>
  <c r="D6" i="1"/>
  <c r="C6" i="1"/>
  <c r="E5" i="1"/>
  <c r="D5" i="1"/>
  <c r="C5" i="1"/>
  <c r="E4" i="1"/>
  <c r="D4" i="1"/>
  <c r="C4" i="1"/>
  <c r="E3" i="1"/>
  <c r="D3" i="1"/>
  <c r="C3" i="1"/>
</calcChain>
</file>

<file path=xl/sharedStrings.xml><?xml version="1.0" encoding="utf-8"?>
<sst xmlns="http://schemas.openxmlformats.org/spreadsheetml/2006/main" count="49" uniqueCount="49">
  <si>
    <t>ТАБЛИЦА ИСТИННОСТИ БАЗОВЫХ ЛОГИЧЕСКИХ ОПЕРАЦИЙ (ЧАСТЬ 2)</t>
  </si>
  <si>
    <t>Вход A</t>
  </si>
  <si>
    <t>Вход B</t>
  </si>
  <si>
    <t>A И B (AND)</t>
  </si>
  <si>
    <t>A ИЛИ B (OR)</t>
  </si>
  <si>
    <t>НЕ A (NOT)</t>
  </si>
  <si>
    <t>A XOR B (XOR)</t>
  </si>
  <si>
    <t>Используемые формулы Excel:</t>
  </si>
  <si>
    <t>Логическое И (AND)</t>
  </si>
  <si>
    <t>Логическое ИЛИ (OR)</t>
  </si>
  <si>
    <t>Логическое НЕ (NOT)</t>
  </si>
  <si>
    <t>Исключающее ИЛИ (XOR)</t>
  </si>
  <si>
    <t>РЕЗУЛЬТАТЫ СЦЕНАРИЕВ МОДЕЛИРОВАНИЯ ПЛК (lab1_discrete.py)</t>
  </si>
  <si>
    <t>Сценарий</t>
  </si>
  <si>
    <t>DI0 (Пуск)</t>
  </si>
  <si>
    <t>DI1 (Стоп)</t>
  </si>
  <si>
    <t>DI2</t>
  </si>
  <si>
    <t>DI3</t>
  </si>
  <si>
    <t>DQ0 (Самоблок)</t>
  </si>
  <si>
    <t>Примечание</t>
  </si>
  <si>
    <t>Сценарий 1: Нажатие пуска</t>
  </si>
  <si>
    <t>Включение выхода DQ0, счётчик=1</t>
  </si>
  <si>
    <t>Сценарий 2: Отпускание пуска</t>
  </si>
  <si>
    <t>Самоблокировка удерживает DQ0=1</t>
  </si>
  <si>
    <t>Сценарий 3: Нажатие стопа</t>
  </si>
  <si>
    <t>Сброс выхода DQ0=0 (приоритет стопа)</t>
  </si>
  <si>
    <t>Сценарий 4: Логика И (DI0 &amp; DI2)</t>
  </si>
  <si>
    <t>DQ1=1, DQ0=1, счётчик=2</t>
  </si>
  <si>
    <t>Сценарий 5: Логика ИЛИ (DI3)</t>
  </si>
  <si>
    <t>DQ2=1, DQ0 остаётся в 1</t>
  </si>
  <si>
    <t>МАСШТАБИРОВАНИЕ АНАЛОГОВОГО СИГНАЛА АЦП / ЦАП (ЧАСТЬ 3)</t>
  </si>
  <si>
    <t>Сырое значение АЦП (Raw)</t>
  </si>
  <si>
    <t>Текст формулы</t>
  </si>
  <si>
    <t>Физическая величина, % (Scale)</t>
  </si>
  <si>
    <t>Обратный расчет в ЦАП (Unscale)</t>
  </si>
  <si>
    <t>Погрешность</t>
  </si>
  <si>
    <t>Интерактивный калькулятор масштабирования:</t>
  </si>
  <si>
    <t>Параметр</t>
  </si>
  <si>
    <t>Значение</t>
  </si>
  <si>
    <t>Ед. изм.</t>
  </si>
  <si>
    <t>Формула / Описание</t>
  </si>
  <si>
    <t>Входной код АЦП (введите число)</t>
  </si>
  <si>
    <t>ед. (0..27648)</t>
  </si>
  <si>
    <t>Пользовательский ввод</t>
  </si>
  <si>
    <t>Масштабированное значение</t>
  </si>
  <si>
    <t>%</t>
  </si>
  <si>
    <t>Физическая величина (0..10 бар)</t>
  </si>
  <si>
    <t>бар</t>
  </si>
  <si>
    <t>Пример: датчик давления 0..10 бар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</si>
</sst>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charset val="204"/>
    </font>
    <font>
      <b/>
      <sz val="11"/>
      <color rgb="FF1F4E79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2"/>
      <color rgb="FFFFFFFF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4" borderId="0" xfId="0" applyFont="1" applyFill="1" applyAlignment="1">
      <alignment horizontal="center" vertic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B9" sqref="B9"/>
    </sheetView>
  </sheetViews>
  <sheetFormatPr defaultRowHeight="14.5" x14ac:dyDescent="0.35"/>
  <cols>
    <col min="1" max="6" width="24" customWidth="1"/>
    <col min="7" max="7" width="35.54296875" customWidth="1"/>
  </cols>
  <sheetData>
    <row r="1" spans="1:7" ht="28" customHeight="1" x14ac:dyDescent="0.35">
      <c r="A1" s="12" t="s">
        <v>0</v>
      </c>
      <c r="B1" s="13"/>
      <c r="C1" s="13"/>
      <c r="D1" s="13"/>
      <c r="E1" s="13"/>
      <c r="F1" s="13"/>
    </row>
    <row r="2" spans="1:7" ht="24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7" ht="20" customHeight="1" x14ac:dyDescent="0.35">
      <c r="A3" s="2">
        <v>0</v>
      </c>
      <c r="B3" s="2">
        <v>0</v>
      </c>
      <c r="C3" s="2">
        <f>1*(AND(A3=1,B3=1))</f>
        <v>0</v>
      </c>
      <c r="D3" s="2">
        <f>1*(OR(A3=1,B3=1))</f>
        <v>0</v>
      </c>
      <c r="E3" s="2">
        <f>1*(NOT(A3=1))</f>
        <v>1</v>
      </c>
      <c r="F3" s="2" t="b">
        <f>_xlfn.XOR(A3,B3)</f>
        <v>0</v>
      </c>
    </row>
    <row r="4" spans="1:7" ht="20" customHeight="1" x14ac:dyDescent="0.35">
      <c r="A4" s="2">
        <v>0</v>
      </c>
      <c r="B4" s="2">
        <v>1</v>
      </c>
      <c r="C4" s="2">
        <f>1*(AND(A4=1,B4=1))</f>
        <v>0</v>
      </c>
      <c r="D4" s="2">
        <f>1*(OR(A4=1,B4=1))</f>
        <v>1</v>
      </c>
      <c r="E4" s="2">
        <f>1*(NOT(A4=1))</f>
        <v>1</v>
      </c>
      <c r="F4" s="2" t="b">
        <f t="shared" ref="F4:F6" si="0">_xlfn.XOR(A4,B4)</f>
        <v>1</v>
      </c>
    </row>
    <row r="5" spans="1:7" ht="20" customHeight="1" x14ac:dyDescent="0.35">
      <c r="A5" s="2">
        <v>1</v>
      </c>
      <c r="B5" s="2">
        <v>0</v>
      </c>
      <c r="C5" s="2">
        <f>1*(AND(A5=1,B5=1))</f>
        <v>0</v>
      </c>
      <c r="D5" s="2">
        <f>1*(OR(A5=1,B5=1))</f>
        <v>1</v>
      </c>
      <c r="E5" s="2">
        <f>1*(NOT(A5=1))</f>
        <v>0</v>
      </c>
      <c r="F5" s="2" t="b">
        <f t="shared" si="0"/>
        <v>1</v>
      </c>
    </row>
    <row r="6" spans="1:7" ht="20" customHeight="1" x14ac:dyDescent="0.35">
      <c r="A6" s="2">
        <v>1</v>
      </c>
      <c r="B6" s="2">
        <v>1</v>
      </c>
      <c r="C6" s="2">
        <f>1*(AND(A6=1,B6=1))</f>
        <v>1</v>
      </c>
      <c r="D6" s="2">
        <f>1*(OR(A6=1,B6=1))</f>
        <v>1</v>
      </c>
      <c r="E6" s="2">
        <f>1*(NOT(A6=1))</f>
        <v>0</v>
      </c>
      <c r="F6" s="2" t="b">
        <f t="shared" si="0"/>
        <v>0</v>
      </c>
    </row>
    <row r="8" spans="1:7" x14ac:dyDescent="0.35">
      <c r="A8" s="3" t="s">
        <v>7</v>
      </c>
    </row>
    <row r="9" spans="1:7" x14ac:dyDescent="0.35">
      <c r="A9" s="4" t="s">
        <v>8</v>
      </c>
      <c r="B9" s="4"/>
    </row>
    <row r="10" spans="1:7" x14ac:dyDescent="0.35">
      <c r="A10" s="4" t="s">
        <v>9</v>
      </c>
      <c r="B10" s="4"/>
    </row>
    <row r="11" spans="1:7" x14ac:dyDescent="0.35">
      <c r="A11" s="4" t="s">
        <v>10</v>
      </c>
      <c r="B11" s="4"/>
    </row>
    <row r="12" spans="1:7" x14ac:dyDescent="0.35">
      <c r="A12" s="4" t="s">
        <v>11</v>
      </c>
      <c r="B12" s="4"/>
    </row>
    <row r="15" spans="1:7" ht="15.5" x14ac:dyDescent="0.35">
      <c r="A15" s="14" t="s">
        <v>12</v>
      </c>
      <c r="B15" s="13"/>
      <c r="C15" s="13"/>
      <c r="D15" s="13"/>
      <c r="E15" s="13"/>
      <c r="F15" s="13"/>
      <c r="G15" s="13"/>
    </row>
    <row r="16" spans="1:7" x14ac:dyDescent="0.35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19</v>
      </c>
    </row>
    <row r="17" spans="1:7" x14ac:dyDescent="0.35">
      <c r="A17" s="5" t="s">
        <v>20</v>
      </c>
      <c r="B17" s="2">
        <v>1</v>
      </c>
      <c r="C17" s="2">
        <v>0</v>
      </c>
      <c r="D17" s="2">
        <v>0</v>
      </c>
      <c r="E17" s="2">
        <v>0</v>
      </c>
      <c r="F17" s="2">
        <v>1</v>
      </c>
      <c r="G17" s="5" t="s">
        <v>21</v>
      </c>
    </row>
    <row r="18" spans="1:7" x14ac:dyDescent="0.35">
      <c r="A18" s="5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5" t="s">
        <v>23</v>
      </c>
    </row>
    <row r="19" spans="1:7" x14ac:dyDescent="0.35">
      <c r="A19" s="5" t="s">
        <v>24</v>
      </c>
      <c r="B19" s="2">
        <v>0</v>
      </c>
      <c r="C19" s="2">
        <v>1</v>
      </c>
      <c r="D19" s="2">
        <v>0</v>
      </c>
      <c r="E19" s="2">
        <v>0</v>
      </c>
      <c r="F19" s="2">
        <v>0</v>
      </c>
      <c r="G19" s="5" t="s">
        <v>25</v>
      </c>
    </row>
    <row r="20" spans="1:7" x14ac:dyDescent="0.35">
      <c r="A20" s="5" t="s">
        <v>26</v>
      </c>
      <c r="B20" s="2">
        <v>1</v>
      </c>
      <c r="C20" s="2">
        <v>0</v>
      </c>
      <c r="D20" s="2">
        <v>1</v>
      </c>
      <c r="E20" s="2">
        <v>0</v>
      </c>
      <c r="F20" s="2">
        <v>1</v>
      </c>
      <c r="G20" s="5" t="s">
        <v>27</v>
      </c>
    </row>
    <row r="21" spans="1:7" x14ac:dyDescent="0.35">
      <c r="A21" s="5" t="s">
        <v>28</v>
      </c>
      <c r="B21" s="2">
        <v>0</v>
      </c>
      <c r="C21" s="2">
        <v>0</v>
      </c>
      <c r="D21" s="2">
        <v>0</v>
      </c>
      <c r="E21" s="2">
        <v>1</v>
      </c>
      <c r="F21" s="2">
        <v>1</v>
      </c>
      <c r="G21" s="5" t="s">
        <v>29</v>
      </c>
    </row>
  </sheetData>
  <mergeCells count="2">
    <mergeCell ref="A1:F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opLeftCell="A4" workbookViewId="0">
      <selection activeCell="D13" sqref="D13"/>
    </sheetView>
  </sheetViews>
  <sheetFormatPr defaultRowHeight="14.5" x14ac:dyDescent="0.35"/>
  <cols>
    <col min="1" max="1" width="31.7265625" customWidth="1"/>
    <col min="2" max="3" width="28" customWidth="1"/>
    <col min="4" max="4" width="34.1796875" customWidth="1"/>
    <col min="5" max="5" width="28" customWidth="1"/>
  </cols>
  <sheetData>
    <row r="1" spans="1:5" ht="28" customHeight="1" x14ac:dyDescent="0.35">
      <c r="A1" s="12" t="s">
        <v>30</v>
      </c>
      <c r="B1" s="13"/>
      <c r="C1" s="13"/>
      <c r="D1" s="13"/>
      <c r="E1" s="13"/>
    </row>
    <row r="2" spans="1:5" ht="24" customHeight="1" x14ac:dyDescent="0.3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</row>
    <row r="3" spans="1:5" ht="20" customHeight="1" x14ac:dyDescent="0.35">
      <c r="A3" s="6">
        <v>0</v>
      </c>
      <c r="B3" s="2">
        <f>A3/27648*100</f>
        <v>0</v>
      </c>
      <c r="C3" s="7">
        <f>A3/27648*100</f>
        <v>0</v>
      </c>
      <c r="D3" s="6">
        <f>INT(C3/100*27648)</f>
        <v>0</v>
      </c>
      <c r="E3" s="8">
        <f>A3-D3</f>
        <v>0</v>
      </c>
    </row>
    <row r="4" spans="1:5" ht="20" customHeight="1" x14ac:dyDescent="0.35">
      <c r="A4" s="6">
        <v>6912</v>
      </c>
      <c r="B4" s="2">
        <f>A4/27648*100</f>
        <v>25</v>
      </c>
      <c r="C4" s="7">
        <f>A4/27648*100</f>
        <v>25</v>
      </c>
      <c r="D4" s="6">
        <f>INT(C4/100*27648)</f>
        <v>6912</v>
      </c>
      <c r="E4" s="8">
        <f>A4-D4</f>
        <v>0</v>
      </c>
    </row>
    <row r="5" spans="1:5" ht="20" customHeight="1" x14ac:dyDescent="0.35">
      <c r="A5" s="6">
        <v>13824</v>
      </c>
      <c r="B5" s="2">
        <f>A5/27648*100</f>
        <v>50</v>
      </c>
      <c r="C5" s="7">
        <f>A5/27648*100</f>
        <v>50</v>
      </c>
      <c r="D5" s="6">
        <f>INT(C5/100*27648)</f>
        <v>13824</v>
      </c>
      <c r="E5" s="8">
        <f>A5-D5</f>
        <v>0</v>
      </c>
    </row>
    <row r="6" spans="1:5" ht="20" customHeight="1" x14ac:dyDescent="0.35">
      <c r="A6" s="6">
        <v>20736</v>
      </c>
      <c r="B6" s="2">
        <f>A6/27648*100</f>
        <v>75</v>
      </c>
      <c r="C6" s="7">
        <f>A6/27648*100</f>
        <v>75</v>
      </c>
      <c r="D6" s="6">
        <f>INT(C6/100*27648)</f>
        <v>20736</v>
      </c>
      <c r="E6" s="8">
        <f>A6-D6</f>
        <v>0</v>
      </c>
    </row>
    <row r="7" spans="1:5" ht="20" customHeight="1" x14ac:dyDescent="0.35">
      <c r="A7" s="6">
        <v>27648</v>
      </c>
      <c r="B7" s="2">
        <f>A7/27648*100</f>
        <v>100</v>
      </c>
      <c r="C7" s="7">
        <f>A7/27648*100</f>
        <v>100</v>
      </c>
      <c r="D7" s="6">
        <f>INT(C7/100*27648)</f>
        <v>27648</v>
      </c>
      <c r="E7" s="8">
        <f>A7-D7</f>
        <v>0</v>
      </c>
    </row>
    <row r="10" spans="1:5" x14ac:dyDescent="0.35">
      <c r="A10" s="15" t="s">
        <v>36</v>
      </c>
      <c r="B10" s="13"/>
      <c r="C10" s="13"/>
      <c r="D10" s="13"/>
    </row>
    <row r="11" spans="1:5" x14ac:dyDescent="0.35">
      <c r="A11" s="1" t="s">
        <v>37</v>
      </c>
      <c r="B11" s="1" t="s">
        <v>38</v>
      </c>
      <c r="C11" s="1" t="s">
        <v>39</v>
      </c>
      <c r="D11" s="1" t="s">
        <v>40</v>
      </c>
    </row>
    <row r="12" spans="1:5" x14ac:dyDescent="0.35">
      <c r="A12" s="9" t="s">
        <v>41</v>
      </c>
      <c r="B12" s="10">
        <v>18500</v>
      </c>
      <c r="C12" s="9" t="s">
        <v>42</v>
      </c>
      <c r="D12" s="9" t="s">
        <v>43</v>
      </c>
    </row>
    <row r="13" spans="1:5" x14ac:dyDescent="0.35">
      <c r="A13" s="9" t="s">
        <v>44</v>
      </c>
      <c r="B13" s="11">
        <f>B12/27648*100</f>
        <v>66.912615740740748</v>
      </c>
      <c r="C13" s="9" t="s">
        <v>45</v>
      </c>
      <c r="D13" s="9">
        <f>B12/27648*100</f>
        <v>66.912615740740748</v>
      </c>
    </row>
    <row r="14" spans="1:5" x14ac:dyDescent="0.35">
      <c r="A14" s="9" t="s">
        <v>46</v>
      </c>
      <c r="B14" s="11">
        <f>B13/100*10</f>
        <v>6.6912615740740744</v>
      </c>
      <c r="C14" s="9" t="s">
        <v>47</v>
      </c>
      <c r="D14" s="9" t="s">
        <v>48</v>
      </c>
    </row>
  </sheetData>
  <mergeCells count="2">
    <mergeCell ref="A10:D1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Дискретная логика</vt:lpstr>
      <vt:lpstr>Аналоговый сигнал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Данил Гайнанов</cp:lastModifiedBy>
  <dcterms:created xsi:type="dcterms:W3CDTF">2026-09-29T07:10:29Z</dcterms:created>
  <dcterms:modified xsi:type="dcterms:W3CDTF">2026-09-29T07:31:26Z</dcterms:modified>
</cp:coreProperties>
</file>