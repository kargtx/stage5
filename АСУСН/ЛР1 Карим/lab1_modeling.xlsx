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искретная логика" sheetId="1" state="visible" r:id="rId1"/>
    <sheet xmlns:r="http://schemas.openxmlformats.org/officeDocument/2006/relationships" name="Аналоговое масштабиров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3"/>
    </font>
    <font>
      <name val="Times New Roman"/>
      <i val="1"/>
      <color rgb="00000000"/>
      <sz val="11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b val="1"/>
      <color rgb="0000000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Таблица истинности логических операций</t>
        </is>
      </c>
    </row>
    <row r="2">
      <c r="A2" s="2" t="inlineStr">
        <is>
          <t>Лабораторная работа № 1 | Студент: Гарифуллин К.Р. (гр. ЭАС-514С)</t>
        </is>
      </c>
    </row>
    <row r="4">
      <c r="A4" s="3" t="inlineStr">
        <is>
          <t>A</t>
        </is>
      </c>
      <c r="B4" s="3" t="inlineStr">
        <is>
          <t>B</t>
        </is>
      </c>
      <c r="C4" s="3" t="inlineStr">
        <is>
          <t>A И B</t>
        </is>
      </c>
      <c r="D4" s="3" t="inlineStr">
        <is>
          <t>A ИЛИ B</t>
        </is>
      </c>
      <c r="E4" s="3" t="inlineStr">
        <is>
          <t>НЕ A</t>
        </is>
      </c>
      <c r="F4" s="3" t="inlineStr">
        <is>
          <t>A XOR B</t>
        </is>
      </c>
    </row>
    <row r="5">
      <c r="A5" s="4" t="n">
        <v>0</v>
      </c>
      <c r="B5" s="4" t="n">
        <v>0</v>
      </c>
      <c r="C5" s="4">
        <f>IF(AND(A5=1,B5=1),1,0)</f>
        <v/>
      </c>
      <c r="D5" s="4">
        <f>IF(OR(A5=1,B5=1),1,0)</f>
        <v/>
      </c>
      <c r="E5" s="4">
        <f>IF(NOT(A5=1),1,0)</f>
        <v/>
      </c>
      <c r="F5" s="4">
        <f>IF(XOR(A5=1,B5=1),1,0)</f>
        <v/>
      </c>
    </row>
    <row r="6">
      <c r="A6" s="4" t="n">
        <v>0</v>
      </c>
      <c r="B6" s="4" t="n">
        <v>1</v>
      </c>
      <c r="C6" s="4">
        <f>IF(AND(A6=1,B6=1),1,0)</f>
        <v/>
      </c>
      <c r="D6" s="4">
        <f>IF(OR(A6=1,B6=1),1,0)</f>
        <v/>
      </c>
      <c r="E6" s="4">
        <f>IF(NOT(A6=1),1,0)</f>
        <v/>
      </c>
      <c r="F6" s="4">
        <f>IF(XOR(A6=1,B6=1),1,0)</f>
        <v/>
      </c>
    </row>
    <row r="7">
      <c r="A7" s="4" t="n">
        <v>1</v>
      </c>
      <c r="B7" s="4" t="n">
        <v>0</v>
      </c>
      <c r="C7" s="4">
        <f>IF(AND(A7=1,B7=1),1,0)</f>
        <v/>
      </c>
      <c r="D7" s="4">
        <f>IF(OR(A7=1,B7=1),1,0)</f>
        <v/>
      </c>
      <c r="E7" s="4">
        <f>IF(NOT(A7=1),1,0)</f>
        <v/>
      </c>
      <c r="F7" s="4">
        <f>IF(XOR(A7=1,B7=1),1,0)</f>
        <v/>
      </c>
    </row>
    <row r="8">
      <c r="A8" s="4" t="n">
        <v>1</v>
      </c>
      <c r="B8" s="4" t="n">
        <v>1</v>
      </c>
      <c r="C8" s="4">
        <f>IF(AND(A8=1,B8=1),1,0)</f>
        <v/>
      </c>
      <c r="D8" s="4">
        <f>IF(OR(A8=1,B8=1),1,0)</f>
        <v/>
      </c>
      <c r="E8" s="4">
        <f>IF(NOT(A8=1),1,0)</f>
        <v/>
      </c>
      <c r="F8" s="4">
        <f>IF(XOR(A8=1,B8=1),1,0)</f>
        <v/>
      </c>
    </row>
    <row r="11">
      <c r="A11" s="5" t="inlineStr">
        <is>
          <t>Формулы Excel:</t>
        </is>
      </c>
    </row>
    <row r="12">
      <c r="A12" s="6" t="inlineStr">
        <is>
          <t>• И: =AND(A2;B2)</t>
        </is>
      </c>
    </row>
    <row r="13">
      <c r="A13" s="6" t="inlineStr">
        <is>
          <t>• ИЛИ: =OR(A2;B2)</t>
        </is>
      </c>
    </row>
    <row r="14">
      <c r="A14" s="6" t="inlineStr">
        <is>
          <t>• НЕ: =NOT(A2)</t>
        </is>
      </c>
    </row>
    <row r="15">
      <c r="A15" s="6" t="inlineStr">
        <is>
          <t>• XOR: =XOR(A2;B2)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</cols>
  <sheetData>
    <row r="1">
      <c r="A1" s="1" t="inlineStr">
        <is>
          <t>Масштабирование аналогового сигнала</t>
        </is>
      </c>
    </row>
    <row r="2">
      <c r="A2" s="2" t="inlineStr">
        <is>
          <t>Преобразование сырого значения АЦП (0–27648) в физическую величину (0–100%)</t>
        </is>
      </c>
    </row>
    <row r="4">
      <c r="A4" s="3" t="inlineStr">
        <is>
          <t>A (сырое)</t>
        </is>
      </c>
      <c r="B4" s="3" t="inlineStr">
        <is>
          <t>B (формула)</t>
        </is>
      </c>
      <c r="C4" s="3" t="inlineStr">
        <is>
          <t>C (результат)</t>
        </is>
      </c>
    </row>
    <row r="5">
      <c r="A5" s="4" t="n">
        <v>0</v>
      </c>
      <c r="B5" s="7">
        <f>A5/27648*100</f>
        <v/>
      </c>
      <c r="C5" s="8">
        <f>A5/27648*100</f>
        <v/>
      </c>
    </row>
    <row r="6">
      <c r="A6" s="4" t="n">
        <v>6912</v>
      </c>
      <c r="B6" s="7">
        <f>A6/27648*100</f>
        <v/>
      </c>
      <c r="C6" s="8">
        <f>A6/27648*100</f>
        <v/>
      </c>
    </row>
    <row r="7">
      <c r="A7" s="4" t="n">
        <v>13824</v>
      </c>
      <c r="B7" s="7">
        <f>A7/27648*100</f>
        <v/>
      </c>
      <c r="C7" s="8">
        <f>A7/27648*100</f>
        <v/>
      </c>
    </row>
    <row r="8">
      <c r="A8" s="4" t="n">
        <v>20736</v>
      </c>
      <c r="B8" s="7">
        <f>A8/27648*100</f>
        <v/>
      </c>
      <c r="C8" s="8">
        <f>A8/27648*100</f>
        <v/>
      </c>
    </row>
    <row r="9">
      <c r="A9" s="4" t="n">
        <v>27648</v>
      </c>
      <c r="B9" s="7">
        <f>A9/27648*100</f>
        <v/>
      </c>
      <c r="C9" s="8">
        <f>A9/27648*100</f>
        <v/>
      </c>
    </row>
    <row r="12">
      <c r="A12" s="5" t="inlineStr">
        <is>
          <t>Обратное преобразование для аналогового выхода (ЦАП)</t>
        </is>
      </c>
    </row>
    <row r="13">
      <c r="A13" s="3" t="inlineStr">
        <is>
          <t>Физическая величина (%)</t>
        </is>
      </c>
      <c r="B13" s="3" t="inlineStr">
        <is>
          <t>Формула ЦАП</t>
        </is>
      </c>
      <c r="C13" s="3" t="inlineStr">
        <is>
          <t>Сырое значение ЦАП</t>
        </is>
      </c>
    </row>
    <row r="14">
      <c r="A14" s="8" t="n">
        <v>0</v>
      </c>
      <c r="B14" s="7">
        <f>ROUND(A14/100*27648; 0)</f>
        <v/>
      </c>
      <c r="C14" s="9">
        <f>ROUND(A14/100*27648, 0)</f>
        <v/>
      </c>
    </row>
    <row r="15">
      <c r="A15" s="8" t="n">
        <v>25</v>
      </c>
      <c r="B15" s="7">
        <f>ROUND(A15/100*27648; 0)</f>
        <v/>
      </c>
      <c r="C15" s="9">
        <f>ROUND(A15/100*27648, 0)</f>
        <v/>
      </c>
    </row>
    <row r="16">
      <c r="A16" s="8" t="n">
        <v>50</v>
      </c>
      <c r="B16" s="7">
        <f>ROUND(A16/100*27648; 0)</f>
        <v/>
      </c>
      <c r="C16" s="9">
        <f>ROUND(A16/100*27648, 0)</f>
        <v/>
      </c>
    </row>
    <row r="17">
      <c r="A17" s="8" t="n">
        <v>75</v>
      </c>
      <c r="B17" s="7">
        <f>ROUND(A17/100*27648; 0)</f>
        <v/>
      </c>
      <c r="C17" s="9">
        <f>ROUND(A17/100*27648, 0)</f>
        <v/>
      </c>
    </row>
    <row r="18">
      <c r="A18" s="8" t="n">
        <v>100</v>
      </c>
      <c r="B18" s="7">
        <f>ROUND(A18/100*27648; 0)</f>
        <v/>
      </c>
      <c r="C18" s="9">
        <f>ROUND(A18/100*27648,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2026-09-29T07:56:55Z</dcterms:created>
  <dcterms:modified xmlns:dcterms="http://purl.org/dc/terms/" xmlns:xsi="http://www.w3.org/2001/XMLSchema-instance" xsi:type="dcterms:W3CDTF">2026-09-29T07:56:55Z</dcterms:modified>
</cp:coreProperties>
</file>