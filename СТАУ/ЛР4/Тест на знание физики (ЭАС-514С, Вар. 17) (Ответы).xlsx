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  <sheet state="visible" name="Проверка и оценивание" sheetId="2" r:id="rId6"/>
  </sheets>
  <definedNames/>
  <calcPr/>
</workbook>
</file>

<file path=xl/sharedStrings.xml><?xml version="1.0" encoding="utf-8"?>
<sst xmlns="http://schemas.openxmlformats.org/spreadsheetml/2006/main" count="149" uniqueCount="77">
  <si>
    <t>ФИО тестируемого</t>
  </si>
  <si>
    <t>Q1 (Джоуль)</t>
  </si>
  <si>
    <t>Q2 (1 зак. Ньютона)</t>
  </si>
  <si>
    <t>Q3 (Закон Ома)</t>
  </si>
  <si>
    <t>Q4 (Изохорный)</t>
  </si>
  <si>
    <t>Q5 (Оптоволокно)</t>
  </si>
  <si>
    <t>Q6 (Импульс)</t>
  </si>
  <si>
    <t>Q7 (Сила Архимеда)</t>
  </si>
  <si>
    <t>Q8 (Нейтрон)</t>
  </si>
  <si>
    <t>Q9 (Индукция)</t>
  </si>
  <si>
    <t>Q10 (Скорость света)</t>
  </si>
  <si>
    <t>ИТОГО БАЛЛОВ</t>
  </si>
  <si>
    <t>ОЦЕНКА</t>
  </si>
  <si>
    <t>Отметка времени</t>
  </si>
  <si>
    <t>Баллы</t>
  </si>
  <si>
    <t>E-mail тестируемого</t>
  </si>
  <si>
    <t>Дата тестирования</t>
  </si>
  <si>
    <t>1. Какая физическая величина измеряется в Джоулях (Дж)?</t>
  </si>
  <si>
    <t>2. Первый закон Ньютона утверждает, что тело сохраняет состояние покоя или равномерного прямолинейного движения, если...</t>
  </si>
  <si>
    <t>3. Закон Ома для однородного участка электрической цепи выражается формулой:</t>
  </si>
  <si>
    <t>4. Термодинамический процесс, происходящий при постоянном объеме газа (V = const), называется:</t>
  </si>
  <si>
    <t>5. Какое явление волновой оптики лежит в основе передачи световых сигналов в оптическом волокне?</t>
  </si>
  <si>
    <t>6. Как называется физическая векторная величина, равная произведению массы тела на его скорость (p = m*v)? (Введите одно слово)</t>
  </si>
  <si>
    <t>7. Выталкивающая сила (сила Архимеда), действующая на погруженное в жидкость тело, равна...</t>
  </si>
  <si>
    <t>8. Какой электрический заряд имеет элементарная частица нейтрон?</t>
  </si>
  <si>
    <t>9. Назовите фамилию английского ученого-физика, открывшего явление электромагнитной индукции (введите фамилию):</t>
  </si>
  <si>
    <t>10. Скорость распространения электромагнитного излучения (света) в вакууме приблизительно равна:</t>
  </si>
  <si>
    <t>Гайнанов Дамир Ильдарович</t>
  </si>
  <si>
    <t>gainanov.di@mail.ru</t>
  </si>
  <si>
    <t>Энергия и работа</t>
  </si>
  <si>
    <t>Равнодействующая всех сил равна нулю</t>
  </si>
  <si>
    <t>I = U / R</t>
  </si>
  <si>
    <t>Изохорный</t>
  </si>
  <si>
    <t>Полное внутреннее отражение</t>
  </si>
  <si>
    <t>Импульс</t>
  </si>
  <si>
    <t>Весу вытесненной жидкости</t>
  </si>
  <si>
    <t>Нейтральный (ноль)</t>
  </si>
  <si>
    <t>Фарадей</t>
  </si>
  <si>
    <t>300 000 км/с</t>
  </si>
  <si>
    <t>Гарифуллин Карим Радикович</t>
  </si>
  <si>
    <t>garifullin.kr@mail.ru</t>
  </si>
  <si>
    <t>Нигматуллин Ильшат Шамилевич</t>
  </si>
  <si>
    <t>nigmatullin.ish@mail.ru</t>
  </si>
  <si>
    <t>Максвелл</t>
  </si>
  <si>
    <t>Гайнетдинов Рустем Рашитович</t>
  </si>
  <si>
    <t>gainetdinov.rr@mail.ru</t>
  </si>
  <si>
    <t>Изобарный</t>
  </si>
  <si>
    <t>150 000 км/с</t>
  </si>
  <si>
    <t>Вагапов Руслан Фаритович</t>
  </si>
  <si>
    <t>vagapov.rf@mail.ru</t>
  </si>
  <si>
    <t>Дифракция света</t>
  </si>
  <si>
    <t>Баширов Артур Ринатович</t>
  </si>
  <si>
    <t>bashirov.ar@mail.ru</t>
  </si>
  <si>
    <t>Сила</t>
  </si>
  <si>
    <t>Массе самого тела</t>
  </si>
  <si>
    <t>300 000 м/с</t>
  </si>
  <si>
    <t>Аскаров Руслан Маратович</t>
  </si>
  <si>
    <t>askarov.rm@mail.ru</t>
  </si>
  <si>
    <t>I = U * R</t>
  </si>
  <si>
    <t>Положительный (+1)</t>
  </si>
  <si>
    <t>Смирнов Алексей Викторович</t>
  </si>
  <si>
    <t>smirnov.av@mail.ru</t>
  </si>
  <si>
    <t>Мощность</t>
  </si>
  <si>
    <t>Изотермический</t>
  </si>
  <si>
    <t>Скорость</t>
  </si>
  <si>
    <t>Ньютон</t>
  </si>
  <si>
    <t>Кузнецов Дмитрий Сергеевич</t>
  </si>
  <si>
    <t>kuznetsov.ds@mail.ru</t>
  </si>
  <si>
    <t>На него действует постоянная сила</t>
  </si>
  <si>
    <t>Поляризация света</t>
  </si>
  <si>
    <t>Васильев Игорь Петрович</t>
  </si>
  <si>
    <t>vasiliev.ip@mail.ru</t>
  </si>
  <si>
    <t>Давление</t>
  </si>
  <si>
    <t>P = U * I</t>
  </si>
  <si>
    <t>Ускорение</t>
  </si>
  <si>
    <t>Отрицательный (-1)</t>
  </si>
  <si>
    <t>СРЕДНИЙ БАЛЛ ПО ГРУППЕ: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</si>
</sst>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&quot;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0" fontId="3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4" xfId="0" applyAlignment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1" displayName="Form_Responses" name="Form_Responses" id="1">
  <tableColumns count="15">
    <tableColumn name="Отметка времени" id="1"/>
    <tableColumn name="Баллы" id="2"/>
    <tableColumn name="ФИО тестируемого" id="3"/>
    <tableColumn name="E-mail тестируемого" id="4"/>
    <tableColumn name="Дата тестирования" id="5"/>
    <tableColumn name="1. Какая физическая величина измеряется в Джоулях (Дж)?" id="6"/>
    <tableColumn name="2. Первый закон Ньютона утверждает, что тело сохраняет состояние покоя или равномерного прямолинейного движения, если..." id="7"/>
    <tableColumn name="3. Закон Ома для однородного участка электрической цепи выражается формулой:" id="8"/>
    <tableColumn name="4. Термодинамический процесс, происходящий при постоянном объеме газа (V = const), называется:" id="9"/>
    <tableColumn name="5. Какое явление волновой оптики лежит в основе передачи световых сигналов в оптическом волокне?" id="10"/>
    <tableColumn name="6. Как называется физическая векторная величина, равная произведению массы тела на его скорость (p = m*v)? (Введите одно слово)" id="11"/>
    <tableColumn name="7. Выталкивающая сила (сила Архимеда), действующая на погруженное в жидкость тело, равна..." id="12"/>
    <tableColumn name="8. Какой электрический заряд имеет элементарная частица нейтрон?" id="13"/>
    <tableColumn name="9. Назовите фамилию английского ученого-физика, открывшего явление электромагнитной индукции (введите фамилию):" id="14"/>
    <tableColumn name="10. Скорость распространения электромагнитного излучения (света) в вакууме приблизительно равна:" id="15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19.75"/>
    <col customWidth="1" min="4" max="4" width="20.75"/>
    <col customWidth="1" min="5" max="5" width="20.13"/>
    <col customWidth="1" min="6" max="15" width="37.63"/>
    <col customWidth="1" min="16" max="21" width="18.88"/>
  </cols>
  <sheetData>
    <row r="1" ht="22.5" customHeight="1">
      <c r="A1" s="3" t="s">
        <v>13</v>
      </c>
      <c r="B1" s="3" t="s">
        <v>14</v>
      </c>
      <c r="C1" s="3" t="s">
        <v>0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</row>
    <row r="2" ht="22.5" customHeight="1">
      <c r="A2" s="5">
        <v>46317.64764599537</v>
      </c>
      <c r="B2" s="6">
        <v>8.0</v>
      </c>
      <c r="C2" s="7" t="s">
        <v>27</v>
      </c>
      <c r="D2" s="7" t="s">
        <v>28</v>
      </c>
      <c r="E2" s="8">
        <v>46316.0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37</v>
      </c>
      <c r="O2" s="7" t="s">
        <v>38</v>
      </c>
    </row>
    <row r="3" ht="22.5" customHeight="1">
      <c r="A3" s="5">
        <v>46317.64833486111</v>
      </c>
      <c r="B3" s="6">
        <v>8.0</v>
      </c>
      <c r="C3" s="7" t="s">
        <v>39</v>
      </c>
      <c r="D3" s="7" t="s">
        <v>40</v>
      </c>
      <c r="E3" s="8">
        <v>46316.0</v>
      </c>
      <c r="F3" s="7" t="s">
        <v>29</v>
      </c>
      <c r="G3" s="7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36</v>
      </c>
      <c r="N3" s="7" t="s">
        <v>37</v>
      </c>
      <c r="O3" s="7" t="s">
        <v>38</v>
      </c>
    </row>
    <row r="4" ht="22.5" customHeight="1">
      <c r="A4" s="5">
        <v>46317.64836021991</v>
      </c>
      <c r="B4" s="6">
        <v>8.0</v>
      </c>
      <c r="C4" s="7" t="s">
        <v>41</v>
      </c>
      <c r="D4" s="7" t="s">
        <v>42</v>
      </c>
      <c r="E4" s="8">
        <v>46316.0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43</v>
      </c>
      <c r="O4" s="7" t="s">
        <v>38</v>
      </c>
    </row>
    <row r="5" ht="22.5" customHeight="1">
      <c r="A5" s="5">
        <v>46317.64838200231</v>
      </c>
      <c r="B5" s="6">
        <v>6.0</v>
      </c>
      <c r="C5" s="7" t="s">
        <v>44</v>
      </c>
      <c r="D5" s="7" t="s">
        <v>45</v>
      </c>
      <c r="E5" s="8">
        <v>46316.0</v>
      </c>
      <c r="F5" s="7" t="s">
        <v>29</v>
      </c>
      <c r="G5" s="7" t="s">
        <v>30</v>
      </c>
      <c r="H5" s="7" t="s">
        <v>31</v>
      </c>
      <c r="I5" s="7" t="s">
        <v>46</v>
      </c>
      <c r="J5" s="7" t="s">
        <v>33</v>
      </c>
      <c r="K5" s="7" t="s">
        <v>34</v>
      </c>
      <c r="L5" s="7" t="s">
        <v>35</v>
      </c>
      <c r="M5" s="7" t="s">
        <v>36</v>
      </c>
      <c r="N5" s="7" t="s">
        <v>37</v>
      </c>
      <c r="O5" s="7" t="s">
        <v>47</v>
      </c>
    </row>
    <row r="6" ht="22.5" customHeight="1">
      <c r="A6" s="5">
        <v>46317.64840060185</v>
      </c>
      <c r="B6" s="6">
        <v>7.0</v>
      </c>
      <c r="C6" s="7" t="s">
        <v>48</v>
      </c>
      <c r="D6" s="7" t="s">
        <v>49</v>
      </c>
      <c r="E6" s="8">
        <v>46316.0</v>
      </c>
      <c r="F6" s="7" t="s">
        <v>29</v>
      </c>
      <c r="G6" s="7" t="s">
        <v>30</v>
      </c>
      <c r="H6" s="7" t="s">
        <v>31</v>
      </c>
      <c r="I6" s="7" t="s">
        <v>32</v>
      </c>
      <c r="J6" s="7" t="s">
        <v>50</v>
      </c>
      <c r="K6" s="7" t="s">
        <v>34</v>
      </c>
      <c r="L6" s="7" t="s">
        <v>35</v>
      </c>
      <c r="M6" s="7" t="s">
        <v>36</v>
      </c>
      <c r="N6" s="7" t="s">
        <v>37</v>
      </c>
      <c r="O6" s="7" t="s">
        <v>38</v>
      </c>
    </row>
    <row r="7" ht="22.5" customHeight="1">
      <c r="A7" s="5">
        <v>46317.648423645835</v>
      </c>
      <c r="B7" s="6">
        <v>5.0</v>
      </c>
      <c r="C7" s="7" t="s">
        <v>51</v>
      </c>
      <c r="D7" s="7" t="s">
        <v>52</v>
      </c>
      <c r="E7" s="8">
        <v>46316.0</v>
      </c>
      <c r="F7" s="7" t="s">
        <v>53</v>
      </c>
      <c r="G7" s="7" t="s">
        <v>30</v>
      </c>
      <c r="H7" s="7" t="s">
        <v>31</v>
      </c>
      <c r="I7" s="7" t="s">
        <v>32</v>
      </c>
      <c r="J7" s="7" t="s">
        <v>33</v>
      </c>
      <c r="K7" s="7" t="s">
        <v>34</v>
      </c>
      <c r="L7" s="7" t="s">
        <v>54</v>
      </c>
      <c r="M7" s="7" t="s">
        <v>36</v>
      </c>
      <c r="N7" s="7" t="s">
        <v>37</v>
      </c>
      <c r="O7" s="7" t="s">
        <v>55</v>
      </c>
    </row>
    <row r="8" ht="22.5" customHeight="1">
      <c r="A8" s="5">
        <v>46317.648460439814</v>
      </c>
      <c r="B8" s="6">
        <v>6.0</v>
      </c>
      <c r="C8" s="7" t="s">
        <v>56</v>
      </c>
      <c r="D8" s="7" t="s">
        <v>57</v>
      </c>
      <c r="E8" s="8">
        <v>46316.0</v>
      </c>
      <c r="F8" s="7" t="s">
        <v>29</v>
      </c>
      <c r="G8" s="7" t="s">
        <v>30</v>
      </c>
      <c r="H8" s="7" t="s">
        <v>58</v>
      </c>
      <c r="I8" s="7" t="s">
        <v>32</v>
      </c>
      <c r="J8" s="7" t="s">
        <v>33</v>
      </c>
      <c r="K8" s="7" t="s">
        <v>34</v>
      </c>
      <c r="L8" s="7" t="s">
        <v>35</v>
      </c>
      <c r="M8" s="7" t="s">
        <v>59</v>
      </c>
      <c r="N8" s="7" t="s">
        <v>37</v>
      </c>
      <c r="O8" s="7" t="s">
        <v>38</v>
      </c>
    </row>
    <row r="9" ht="22.5" customHeight="1">
      <c r="A9" s="5">
        <v>46317.64848189815</v>
      </c>
      <c r="B9" s="6">
        <v>6.0</v>
      </c>
      <c r="C9" s="7" t="s">
        <v>60</v>
      </c>
      <c r="D9" s="7" t="s">
        <v>61</v>
      </c>
      <c r="E9" s="8">
        <v>46316.0</v>
      </c>
      <c r="F9" s="7" t="s">
        <v>62</v>
      </c>
      <c r="G9" s="7" t="s">
        <v>30</v>
      </c>
      <c r="H9" s="7" t="s">
        <v>31</v>
      </c>
      <c r="I9" s="7" t="s">
        <v>63</v>
      </c>
      <c r="J9" s="7" t="s">
        <v>33</v>
      </c>
      <c r="K9" s="7" t="s">
        <v>64</v>
      </c>
      <c r="L9" s="7" t="s">
        <v>35</v>
      </c>
      <c r="M9" s="7" t="s">
        <v>36</v>
      </c>
      <c r="N9" s="7" t="s">
        <v>65</v>
      </c>
      <c r="O9" s="7" t="s">
        <v>38</v>
      </c>
    </row>
    <row r="10" ht="22.5" customHeight="1">
      <c r="A10" s="5">
        <v>46317.64850002315</v>
      </c>
      <c r="B10" s="6">
        <v>5.0</v>
      </c>
      <c r="C10" s="7" t="s">
        <v>66</v>
      </c>
      <c r="D10" s="7" t="s">
        <v>67</v>
      </c>
      <c r="E10" s="8">
        <v>46316.0</v>
      </c>
      <c r="F10" s="7" t="s">
        <v>29</v>
      </c>
      <c r="G10" s="7" t="s">
        <v>68</v>
      </c>
      <c r="H10" s="7" t="s">
        <v>31</v>
      </c>
      <c r="I10" s="7" t="s">
        <v>32</v>
      </c>
      <c r="J10" s="7" t="s">
        <v>69</v>
      </c>
      <c r="K10" s="7" t="s">
        <v>34</v>
      </c>
      <c r="L10" s="7" t="s">
        <v>35</v>
      </c>
      <c r="M10" s="7" t="s">
        <v>36</v>
      </c>
      <c r="N10" s="7" t="s">
        <v>37</v>
      </c>
      <c r="O10" s="7" t="s">
        <v>55</v>
      </c>
    </row>
    <row r="11" ht="22.5" customHeight="1">
      <c r="A11" s="5">
        <v>46317.64851413194</v>
      </c>
      <c r="B11" s="6">
        <v>3.0</v>
      </c>
      <c r="C11" s="7" t="s">
        <v>70</v>
      </c>
      <c r="D11" s="7" t="s">
        <v>71</v>
      </c>
      <c r="E11" s="8">
        <v>46316.0</v>
      </c>
      <c r="F11" s="7" t="s">
        <v>72</v>
      </c>
      <c r="G11" s="7" t="s">
        <v>68</v>
      </c>
      <c r="H11" s="7" t="s">
        <v>73</v>
      </c>
      <c r="I11" s="7" t="s">
        <v>46</v>
      </c>
      <c r="J11" s="7" t="s">
        <v>33</v>
      </c>
      <c r="K11" s="7" t="s">
        <v>74</v>
      </c>
      <c r="L11" s="7" t="s">
        <v>35</v>
      </c>
      <c r="M11" s="7" t="s">
        <v>75</v>
      </c>
      <c r="N11" s="7" t="s">
        <v>37</v>
      </c>
      <c r="O11" s="7" t="s">
        <v>38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0.63"/>
    <col customWidth="1" min="3" max="3" width="16.25"/>
    <col customWidth="1" min="4" max="4" width="12.75"/>
    <col customWidth="1" min="5" max="5" width="13.25"/>
    <col customWidth="1" min="6" max="6" width="14.75"/>
    <col customWidth="1" min="7" max="7" width="11.25"/>
    <col customWidth="1" min="8" max="8" width="16.5"/>
    <col customWidth="1" min="9" max="9" width="11.13"/>
    <col customWidth="1" min="10" max="10" width="12.13"/>
    <col customWidth="1" min="11" max="11" width="17.5"/>
    <col customWidth="1" min="12" max="12" width="13.13"/>
    <col customWidth="1" min="13" max="13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tr">
        <f>'Ответы на форму (1)'!C2</f>
        <v>Гайнанов Дамир Ильдарович</v>
      </c>
      <c r="B2" s="4" t="str">
        <f>IF('Ответы на форму (1)'!F2="Энергия и работа", 1, 0)</f>
        <v>#ERROR!</v>
      </c>
      <c r="C2" s="4" t="str">
        <f>IF('Ответы на форму (1)'!G2="Равнодействующая всех сил равна нулю", 1, 0)</f>
        <v>#ERROR!</v>
      </c>
      <c r="D2" s="4" t="str">
        <f>IF('Ответы на форму (1)'!H2="I = U / R", 1, 0)</f>
        <v>#ERROR!</v>
      </c>
      <c r="E2" s="4" t="str">
        <f>IF('Ответы на форму (1)'!I2="Изохорный", 1, 0)</f>
        <v>#ERROR!</v>
      </c>
      <c r="F2" s="4" t="str">
        <f>IF('Ответы на форму (1)'!J2="Полное внутреннее отражение", 1, 0)</f>
        <v>#ERROR!</v>
      </c>
      <c r="G2" s="4" t="str">
        <f>IF(LOWER(TRIM('Ответы на форму (1)'!K2))="импульс", 1, 0)</f>
        <v>#ERROR!</v>
      </c>
      <c r="H2" s="4" t="str">
        <f>IF('Ответы на форму (1)'!L2="Весу вытесненной жидкости", 1, 0)</f>
        <v>#ERROR!</v>
      </c>
      <c r="I2" s="4" t="str">
        <f>IF('Ответы на форму (1)'!M2="Нейтральный (ноль)", 1, 0)</f>
        <v>#ERROR!</v>
      </c>
      <c r="J2" s="4" t="str">
        <f>IF(LOWER(TRIM('Ответы на форму (1)'!N2))="фарадей", 1, 0)</f>
        <v>#ERROR!</v>
      </c>
      <c r="K2" s="4" t="str">
        <f>IF('Ответы на форму (1)'!O2="300 000 км/с", 1, 0)</f>
        <v>#ERROR!</v>
      </c>
      <c r="L2" s="4" t="str">
        <f t="shared" ref="L2:L11" si="1">SUM(B2:K2)</f>
        <v>#ERROR!</v>
      </c>
      <c r="M2" s="4" t="str">
        <f>IF(L2&gt;=10, "Отлично", IF(L2&gt;=8, "Хорошо", IF(L2&gt;=6, "Удовлетворительно", "Неудовлетворительно")))</f>
        <v>#ERROR!</v>
      </c>
    </row>
    <row r="3">
      <c r="A3" s="2" t="str">
        <f>'Ответы на форму (1)'!C3</f>
        <v>Гарифуллин Карим Радикович</v>
      </c>
      <c r="B3" s="4" t="str">
        <f>IF('Ответы на форму (1)'!F3="Энергия и работа", 1, 0)</f>
        <v>#ERROR!</v>
      </c>
      <c r="C3" s="4" t="str">
        <f>IF('Ответы на форму (1)'!G3="Равнодействующая всех сил равна нулю", 1, 0)</f>
        <v>#ERROR!</v>
      </c>
      <c r="D3" s="4" t="str">
        <f>IF('Ответы на форму (1)'!H3="I = U / R", 1, 0)</f>
        <v>#ERROR!</v>
      </c>
      <c r="E3" s="4" t="str">
        <f>IF('Ответы на форму (1)'!I3="Изохорный", 1, 0)</f>
        <v>#ERROR!</v>
      </c>
      <c r="F3" s="4" t="str">
        <f>IF('Ответы на форму (1)'!J3="Полное внутреннее отражение", 1, 0)</f>
        <v>#ERROR!</v>
      </c>
      <c r="G3" s="4" t="str">
        <f>IF(LOWER(TRIM('Ответы на форму (1)'!K3))="импульс", 1, 0)</f>
        <v>#ERROR!</v>
      </c>
      <c r="H3" s="4" t="str">
        <f>IF('Ответы на форму (1)'!L3="Весу вытесненной жидкости", 1, 0)</f>
        <v>#ERROR!</v>
      </c>
      <c r="I3" s="4" t="str">
        <f>IF('Ответы на форму (1)'!M3="Нейтральный (ноль)", 1, 0)</f>
        <v>#ERROR!</v>
      </c>
      <c r="J3" s="4" t="str">
        <f>IF(LOWER(TRIM('Ответы на форму (1)'!N3))="фарадей", 1, 0)</f>
        <v>#ERROR!</v>
      </c>
      <c r="K3" s="4" t="str">
        <f>IF('Ответы на форму (1)'!O3="300 000 км/с", 1, 0)</f>
        <v>#ERROR!</v>
      </c>
      <c r="L3" s="4" t="str">
        <f t="shared" si="1"/>
        <v>#ERROR!</v>
      </c>
      <c r="M3" s="4" t="str">
        <f>IF(L3&gt;=10, "Отлично", IF(L3&gt;=8, "Хорошо", IF(L3&gt;=6, "Удовлетворительно", "Неудовлетворительно")))</f>
        <v>#ERROR!</v>
      </c>
    </row>
    <row r="4">
      <c r="A4" s="2" t="str">
        <f>'Ответы на форму (1)'!C4</f>
        <v>Нигматуллин Ильшат Шамилевич</v>
      </c>
      <c r="B4" s="4" t="str">
        <f>IF('Ответы на форму (1)'!F4="Энергия и работа", 1, 0)</f>
        <v>#ERROR!</v>
      </c>
      <c r="C4" s="4" t="str">
        <f>IF('Ответы на форму (1)'!G4="Равнодействующая всех сил равна нулю", 1, 0)</f>
        <v>#ERROR!</v>
      </c>
      <c r="D4" s="4" t="str">
        <f>IF('Ответы на форму (1)'!H4="I = U / R", 1, 0)</f>
        <v>#ERROR!</v>
      </c>
      <c r="E4" s="4" t="str">
        <f>IF('Ответы на форму (1)'!I4="Изохорный", 1, 0)</f>
        <v>#ERROR!</v>
      </c>
      <c r="F4" s="4" t="str">
        <f>IF('Ответы на форму (1)'!J4="Полное внутреннее отражение", 1, 0)</f>
        <v>#ERROR!</v>
      </c>
      <c r="G4" s="4" t="str">
        <f>IF(LOWER(TRIM('Ответы на форму (1)'!K4))="импульс", 1, 0)</f>
        <v>#ERROR!</v>
      </c>
      <c r="H4" s="4" t="str">
        <f>IF('Ответы на форму (1)'!L4="Весу вытесненной жидкости", 1, 0)</f>
        <v>#ERROR!</v>
      </c>
      <c r="I4" s="4" t="str">
        <f>IF('Ответы на форму (1)'!M4="Нейтральный (ноль)", 1, 0)</f>
        <v>#ERROR!</v>
      </c>
      <c r="J4" s="4" t="str">
        <f>IF(LOWER(TRIM('Ответы на форму (1)'!N4))="фарадей", 1, 0)</f>
        <v>#ERROR!</v>
      </c>
      <c r="K4" s="4" t="str">
        <f>IF('Ответы на форму (1)'!O4="300 000 км/с", 1, 0)</f>
        <v>#ERROR!</v>
      </c>
      <c r="L4" s="4" t="str">
        <f t="shared" si="1"/>
        <v>#ERROR!</v>
      </c>
      <c r="M4" s="4" t="str">
        <f>IF(L4&gt;=10, "Отлично", IF(L4&gt;=8, "Хорошо", IF(L4&gt;=6, "Удовлетворительно", "Неудовлетворительно")))</f>
        <v>#ERROR!</v>
      </c>
    </row>
    <row r="5">
      <c r="A5" s="2" t="str">
        <f>'Ответы на форму (1)'!C5</f>
        <v>Гайнетдинов Рустем Рашитович</v>
      </c>
      <c r="B5" s="4" t="str">
        <f>IF('Ответы на форму (1)'!F5="Энергия и работа", 1, 0)</f>
        <v>#ERROR!</v>
      </c>
      <c r="C5" s="4" t="str">
        <f>IF('Ответы на форму (1)'!G5="Равнодействующая всех сил равна нулю", 1, 0)</f>
        <v>#ERROR!</v>
      </c>
      <c r="D5" s="4" t="str">
        <f>IF('Ответы на форму (1)'!H5="I = U / R", 1, 0)</f>
        <v>#ERROR!</v>
      </c>
      <c r="E5" s="4" t="str">
        <f>IF('Ответы на форму (1)'!I5="Изохорный", 1, 0)</f>
        <v>#ERROR!</v>
      </c>
      <c r="F5" s="4" t="str">
        <f>IF('Ответы на форму (1)'!J5="Полное внутреннее отражение", 1, 0)</f>
        <v>#ERROR!</v>
      </c>
      <c r="G5" s="4" t="str">
        <f>IF(LOWER(TRIM('Ответы на форму (1)'!K5))="импульс", 1, 0)</f>
        <v>#ERROR!</v>
      </c>
      <c r="H5" s="4" t="str">
        <f>IF('Ответы на форму (1)'!L5="Весу вытесненной жидкости", 1, 0)</f>
        <v>#ERROR!</v>
      </c>
      <c r="I5" s="4" t="str">
        <f>IF('Ответы на форму (1)'!M5="Нейтральный (ноль)", 1, 0)</f>
        <v>#ERROR!</v>
      </c>
      <c r="J5" s="4" t="str">
        <f>IF(LOWER(TRIM('Ответы на форму (1)'!N5))="фарадей", 1, 0)</f>
        <v>#ERROR!</v>
      </c>
      <c r="K5" s="4" t="str">
        <f>IF('Ответы на форму (1)'!O5="300 000 км/с", 1, 0)</f>
        <v>#ERROR!</v>
      </c>
      <c r="L5" s="4" t="str">
        <f t="shared" si="1"/>
        <v>#ERROR!</v>
      </c>
      <c r="M5" s="4" t="str">
        <f>IF(L5&gt;=10, "Отлично", IF(L5&gt;=8, "Хорошо", IF(L5&gt;=6, "Удовлетворительно", "Неудовлетворительно")))</f>
        <v>#ERROR!</v>
      </c>
    </row>
    <row r="6">
      <c r="A6" s="2" t="str">
        <f>'Ответы на форму (1)'!C6</f>
        <v>Вагапов Руслан Фаритович</v>
      </c>
      <c r="B6" s="4" t="str">
        <f>IF('Ответы на форму (1)'!F6="Энергия и работа", 1, 0)</f>
        <v>#ERROR!</v>
      </c>
      <c r="C6" s="4" t="str">
        <f>IF('Ответы на форму (1)'!G6="Равнодействующая всех сил равна нулю", 1, 0)</f>
        <v>#ERROR!</v>
      </c>
      <c r="D6" s="4" t="str">
        <f>IF('Ответы на форму (1)'!H6="I = U / R", 1, 0)</f>
        <v>#ERROR!</v>
      </c>
      <c r="E6" s="4" t="str">
        <f>IF('Ответы на форму (1)'!I6="Изохорный", 1, 0)</f>
        <v>#ERROR!</v>
      </c>
      <c r="F6" s="4" t="str">
        <f>IF('Ответы на форму (1)'!J6="Полное внутреннее отражение", 1, 0)</f>
        <v>#ERROR!</v>
      </c>
      <c r="G6" s="4" t="str">
        <f>IF(LOWER(TRIM('Ответы на форму (1)'!K6))="импульс", 1, 0)</f>
        <v>#ERROR!</v>
      </c>
      <c r="H6" s="4" t="str">
        <f>IF('Ответы на форму (1)'!L6="Весу вытесненной жидкости", 1, 0)</f>
        <v>#ERROR!</v>
      </c>
      <c r="I6" s="4" t="str">
        <f>IF('Ответы на форму (1)'!M6="Нейтральный (ноль)", 1, 0)</f>
        <v>#ERROR!</v>
      </c>
      <c r="J6" s="4" t="str">
        <f>IF(LOWER(TRIM('Ответы на форму (1)'!N6))="фарадей", 1, 0)</f>
        <v>#ERROR!</v>
      </c>
      <c r="K6" s="4" t="str">
        <f>IF('Ответы на форму (1)'!O6="300 000 км/с", 1, 0)</f>
        <v>#ERROR!</v>
      </c>
      <c r="L6" s="4" t="str">
        <f t="shared" si="1"/>
        <v>#ERROR!</v>
      </c>
      <c r="M6" s="4" t="str">
        <f>IF(L6&gt;=10, "Отлично", IF(L6&gt;=8, "Хорошо", IF(L6&gt;=6, "Удовлетворительно", "Неудовлетворительно")))</f>
        <v>#ERROR!</v>
      </c>
    </row>
    <row r="7">
      <c r="A7" s="2" t="str">
        <f>'Ответы на форму (1)'!C7</f>
        <v>Баширов Артур Ринатович</v>
      </c>
      <c r="B7" s="4" t="str">
        <f>IF('Ответы на форму (1)'!F7="Энергия и работа", 1, 0)</f>
        <v>#ERROR!</v>
      </c>
      <c r="C7" s="4" t="str">
        <f>IF('Ответы на форму (1)'!G7="Равнодействующая всех сил равна нулю", 1, 0)</f>
        <v>#ERROR!</v>
      </c>
      <c r="D7" s="4" t="str">
        <f>IF('Ответы на форму (1)'!H7="I = U / R", 1, 0)</f>
        <v>#ERROR!</v>
      </c>
      <c r="E7" s="4" t="str">
        <f>IF('Ответы на форму (1)'!I7="Изохорный", 1, 0)</f>
        <v>#ERROR!</v>
      </c>
      <c r="F7" s="4" t="str">
        <f>IF('Ответы на форму (1)'!J7="Полное внутреннее отражение", 1, 0)</f>
        <v>#ERROR!</v>
      </c>
      <c r="G7" s="4" t="str">
        <f>IF(LOWER(TRIM('Ответы на форму (1)'!K7))="импульс", 1, 0)</f>
        <v>#ERROR!</v>
      </c>
      <c r="H7" s="4" t="str">
        <f>IF('Ответы на форму (1)'!L7="Весу вытесненной жидкости", 1, 0)</f>
        <v>#ERROR!</v>
      </c>
      <c r="I7" s="4" t="str">
        <f>IF('Ответы на форму (1)'!M7="Нейтральный (ноль)", 1, 0)</f>
        <v>#ERROR!</v>
      </c>
      <c r="J7" s="4" t="str">
        <f>IF(LOWER(TRIM('Ответы на форму (1)'!N7))="фарадей", 1, 0)</f>
        <v>#ERROR!</v>
      </c>
      <c r="K7" s="4" t="str">
        <f>IF('Ответы на форму (1)'!O7="300 000 км/с", 1, 0)</f>
        <v>#ERROR!</v>
      </c>
      <c r="L7" s="4" t="str">
        <f t="shared" si="1"/>
        <v>#ERROR!</v>
      </c>
      <c r="M7" s="4" t="str">
        <f>IF(L7&gt;=10, "Отлично", IF(L7&gt;=8, "Хорошо", IF(L7&gt;=6, "Удовлетворительно", "Неудовлетворительно")))</f>
        <v>#ERROR!</v>
      </c>
    </row>
    <row r="8">
      <c r="A8" s="2" t="str">
        <f>'Ответы на форму (1)'!C8</f>
        <v>Аскаров Руслан Маратович</v>
      </c>
      <c r="B8" s="4" t="str">
        <f>IF('Ответы на форму (1)'!F8="Энергия и работа", 1, 0)</f>
        <v>#ERROR!</v>
      </c>
      <c r="C8" s="4" t="str">
        <f>IF('Ответы на форму (1)'!G8="Равнодействующая всех сил равна нулю", 1, 0)</f>
        <v>#ERROR!</v>
      </c>
      <c r="D8" s="4" t="str">
        <f>IF('Ответы на форму (1)'!H8="I = U / R", 1, 0)</f>
        <v>#ERROR!</v>
      </c>
      <c r="E8" s="4" t="str">
        <f>IF('Ответы на форму (1)'!I8="Изохорный", 1, 0)</f>
        <v>#ERROR!</v>
      </c>
      <c r="F8" s="4" t="str">
        <f>IF('Ответы на форму (1)'!J8="Полное внутреннее отражение", 1, 0)</f>
        <v>#ERROR!</v>
      </c>
      <c r="G8" s="4" t="str">
        <f>IF(LOWER(TRIM('Ответы на форму (1)'!K8))="импульс", 1, 0)</f>
        <v>#ERROR!</v>
      </c>
      <c r="H8" s="4" t="str">
        <f>IF('Ответы на форму (1)'!L8="Весу вытесненной жидкости", 1, 0)</f>
        <v>#ERROR!</v>
      </c>
      <c r="I8" s="4" t="str">
        <f>IF('Ответы на форму (1)'!M8="Нейтральный (ноль)", 1, 0)</f>
        <v>#ERROR!</v>
      </c>
      <c r="J8" s="4" t="str">
        <f>IF(LOWER(TRIM('Ответы на форму (1)'!N8))="фарадей", 1, 0)</f>
        <v>#ERROR!</v>
      </c>
      <c r="K8" s="4" t="str">
        <f>IF('Ответы на форму (1)'!O8="300 000 км/с", 1, 0)</f>
        <v>#ERROR!</v>
      </c>
      <c r="L8" s="4" t="str">
        <f t="shared" si="1"/>
        <v>#ERROR!</v>
      </c>
      <c r="M8" s="4" t="str">
        <f>IF(L8&gt;=10, "Отлично", IF(L8&gt;=8, "Хорошо", IF(L8&gt;=6, "Удовлетворительно", "Неудовлетворительно")))</f>
        <v>#ERROR!</v>
      </c>
    </row>
    <row r="9">
      <c r="A9" s="2" t="str">
        <f>'Ответы на форму (1)'!C9</f>
        <v>Смирнов Алексей Викторович</v>
      </c>
      <c r="B9" s="4" t="str">
        <f>IF('Ответы на форму (1)'!F9="Энергия и работа", 1, 0)</f>
        <v>#ERROR!</v>
      </c>
      <c r="C9" s="4" t="str">
        <f>IF('Ответы на форму (1)'!G9="Равнодействующая всех сил равна нулю", 1, 0)</f>
        <v>#ERROR!</v>
      </c>
      <c r="D9" s="4" t="str">
        <f>IF('Ответы на форму (1)'!H9="I = U / R", 1, 0)</f>
        <v>#ERROR!</v>
      </c>
      <c r="E9" s="4" t="str">
        <f>IF('Ответы на форму (1)'!I9="Изохорный", 1, 0)</f>
        <v>#ERROR!</v>
      </c>
      <c r="F9" s="4" t="str">
        <f>IF('Ответы на форму (1)'!J9="Полное внутреннее отражение", 1, 0)</f>
        <v>#ERROR!</v>
      </c>
      <c r="G9" s="4" t="str">
        <f>IF(LOWER(TRIM('Ответы на форму (1)'!K9))="импульс", 1, 0)</f>
        <v>#ERROR!</v>
      </c>
      <c r="H9" s="4" t="str">
        <f>IF('Ответы на форму (1)'!L9="Весу вытесненной жидкости", 1, 0)</f>
        <v>#ERROR!</v>
      </c>
      <c r="I9" s="4" t="str">
        <f>IF('Ответы на форму (1)'!M9="Нейтральный (ноль)", 1, 0)</f>
        <v>#ERROR!</v>
      </c>
      <c r="J9" s="4" t="str">
        <f>IF(LOWER(TRIM('Ответы на форму (1)'!N9))="фарадей", 1, 0)</f>
        <v>#ERROR!</v>
      </c>
      <c r="K9" s="4" t="str">
        <f>IF('Ответы на форму (1)'!O9="300 000 км/с", 1, 0)</f>
        <v>#ERROR!</v>
      </c>
      <c r="L9" s="4" t="str">
        <f t="shared" si="1"/>
        <v>#ERROR!</v>
      </c>
      <c r="M9" s="4" t="str">
        <f>IF(L9&gt;=10, "Отлично", IF(L9&gt;=8, "Хорошо", IF(L9&gt;=6, "Удовлетворительно", "Неудовлетворительно")))</f>
        <v>#ERROR!</v>
      </c>
    </row>
    <row r="10">
      <c r="A10" s="2" t="str">
        <f>'Ответы на форму (1)'!C10</f>
        <v>Кузнецов Дмитрий Сергеевич</v>
      </c>
      <c r="B10" s="4" t="str">
        <f>IF('Ответы на форму (1)'!F10="Энергия и работа", 1, 0)</f>
        <v>#ERROR!</v>
      </c>
      <c r="C10" s="4" t="str">
        <f>IF('Ответы на форму (1)'!G10="Равнодействующая всех сил равна нулю", 1, 0)</f>
        <v>#ERROR!</v>
      </c>
      <c r="D10" s="4" t="str">
        <f>IF('Ответы на форму (1)'!H10="I = U / R", 1, 0)</f>
        <v>#ERROR!</v>
      </c>
      <c r="E10" s="4" t="str">
        <f>IF('Ответы на форму (1)'!I10="Изохорный", 1, 0)</f>
        <v>#ERROR!</v>
      </c>
      <c r="F10" s="4" t="str">
        <f>IF('Ответы на форму (1)'!J10="Полное внутреннее отражение", 1, 0)</f>
        <v>#ERROR!</v>
      </c>
      <c r="G10" s="4" t="str">
        <f>IF(LOWER(TRIM('Ответы на форму (1)'!K10))="импульс", 1, 0)</f>
        <v>#ERROR!</v>
      </c>
      <c r="H10" s="4" t="str">
        <f>IF('Ответы на форму (1)'!L10="Весу вытесненной жидкости", 1, 0)</f>
        <v>#ERROR!</v>
      </c>
      <c r="I10" s="4" t="str">
        <f>IF('Ответы на форму (1)'!M10="Нейтральный (ноль)", 1, 0)</f>
        <v>#ERROR!</v>
      </c>
      <c r="J10" s="4" t="str">
        <f>IF(LOWER(TRIM('Ответы на форму (1)'!N10))="фарадей", 1, 0)</f>
        <v>#ERROR!</v>
      </c>
      <c r="K10" s="4" t="str">
        <f>IF('Ответы на форму (1)'!O10="300 000 км/с", 1, 0)</f>
        <v>#ERROR!</v>
      </c>
      <c r="L10" s="4" t="str">
        <f t="shared" si="1"/>
        <v>#ERROR!</v>
      </c>
      <c r="M10" s="4" t="str">
        <f>IF(L10&gt;=10, "Отлично", IF(L10&gt;=8, "Хорошо", IF(L10&gt;=6, "Удовлетворительно", "Неудовлетворительно")))</f>
        <v>#ERROR!</v>
      </c>
    </row>
    <row r="11">
      <c r="A11" s="2" t="str">
        <f>'Ответы на форму (1)'!C11</f>
        <v>Васильев Игорь Петрович</v>
      </c>
      <c r="B11" s="4" t="str">
        <f>IF('Ответы на форму (1)'!F11="Энергия и работа", 1, 0)</f>
        <v>#ERROR!</v>
      </c>
      <c r="C11" s="4" t="str">
        <f>IF('Ответы на форму (1)'!G11="Равнодействующая всех сил равна нулю", 1, 0)</f>
        <v>#ERROR!</v>
      </c>
      <c r="D11" s="4" t="str">
        <f>IF('Ответы на форму (1)'!H11="I = U / R", 1, 0)</f>
        <v>#ERROR!</v>
      </c>
      <c r="E11" s="4" t="str">
        <f>IF('Ответы на форму (1)'!I11="Изохорный", 1, 0)</f>
        <v>#ERROR!</v>
      </c>
      <c r="F11" s="4" t="str">
        <f>IF('Ответы на форму (1)'!J11="Полное внутреннее отражение", 1, 0)</f>
        <v>#ERROR!</v>
      </c>
      <c r="G11" s="4" t="str">
        <f>IF(LOWER(TRIM('Ответы на форму (1)'!K11))="импульс", 1, 0)</f>
        <v>#ERROR!</v>
      </c>
      <c r="H11" s="4" t="str">
        <f>IF('Ответы на форму (1)'!L11="Весу вытесненной жидкости", 1, 0)</f>
        <v>#ERROR!</v>
      </c>
      <c r="I11" s="4" t="str">
        <f>IF('Ответы на форму (1)'!M11="Нейтральный (ноль)", 1, 0)</f>
        <v>#ERROR!</v>
      </c>
      <c r="J11" s="4" t="str">
        <f>IF(LOWER(TRIM('Ответы на форму (1)'!N11))="фарадей", 1, 0)</f>
        <v>#ERROR!</v>
      </c>
      <c r="K11" s="4" t="str">
        <f>IF('Ответы на форму (1)'!O11="300 000 км/с", 1, 0)</f>
        <v>#ERROR!</v>
      </c>
      <c r="L11" s="4" t="str">
        <f t="shared" si="1"/>
        <v>#ERROR!</v>
      </c>
      <c r="M11" s="4" t="str">
        <f>IF(L11&gt;=10, "Отлично", IF(L11&gt;=8, "Хорошо", IF(L11&gt;=6, "Удовлетворительно", "Неудовлетворительно")))</f>
        <v>#ERROR!</v>
      </c>
    </row>
    <row r="12">
      <c r="A12" s="9" t="s">
        <v>76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 t="str">
        <f>AVERAGE(L2:L11)</f>
        <v>#ERROR!</v>
      </c>
      <c r="M12" s="4"/>
    </row>
  </sheetData>
  <drawing r:id="rId1"/>
</worksheet>
</file>