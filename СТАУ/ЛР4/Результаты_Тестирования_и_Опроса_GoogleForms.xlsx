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кета соцсети" sheetId="1" state="visible" r:id="rId1"/>
    <sheet xmlns:r="http://schemas.openxmlformats.org/officeDocument/2006/relationships" name="Ответы теста" sheetId="2" state="visible" r:id="rId2"/>
    <sheet xmlns:r="http://schemas.openxmlformats.org/officeDocument/2006/relationships" name="Проверка и оценива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6" customWidth="1" min="3" max="3"/>
    <col width="13" customWidth="1" min="4" max="4"/>
    <col width="22" customWidth="1" min="5" max="5"/>
    <col width="18" customWidth="1" min="6" max="6"/>
    <col width="26" customWidth="1" min="7" max="7"/>
    <col width="16" customWidth="1" min="8" max="8"/>
    <col width="27" customWidth="1" min="9" max="9"/>
    <col width="32" customWidth="1" min="10" max="10"/>
    <col width="25" customWidth="1" min="11" max="11"/>
    <col width="26" customWidth="1" min="12" max="12"/>
    <col width="27" customWidth="1" min="13" max="13"/>
    <col width="29" customWidth="1" min="14" max="14"/>
  </cols>
  <sheetData>
    <row r="1">
      <c r="A1" s="1" t="inlineStr">
        <is>
          <t>Отметка времени</t>
        </is>
      </c>
      <c r="B1" s="1" t="inlineStr">
        <is>
          <t>ФИО опрашиваемого</t>
        </is>
      </c>
      <c r="C1" s="1" t="inlineStr">
        <is>
          <t>E-mail</t>
        </is>
      </c>
      <c r="D1" s="1" t="inlineStr">
        <is>
          <t>Дата</t>
        </is>
      </c>
      <c r="E1" s="1" t="inlineStr">
        <is>
          <t>1. Основная соцсеть</t>
        </is>
      </c>
      <c r="F1" s="1" t="inlineStr">
        <is>
          <t>2. Время в день</t>
        </is>
      </c>
      <c r="G1" s="1" t="inlineStr">
        <is>
          <t>3. Цель использования</t>
        </is>
      </c>
      <c r="H1" s="1" t="inlineStr">
        <is>
          <t>4. Устройство</t>
        </is>
      </c>
      <c r="I1" s="1" t="inlineStr">
        <is>
          <t>5. Формат контента</t>
        </is>
      </c>
      <c r="J1" s="1" t="inlineStr">
        <is>
          <t>6. Публикация постов (Да/Нет)</t>
        </is>
      </c>
      <c r="K1" s="1" t="inlineStr">
        <is>
          <t>7. Отношение к рекламе</t>
        </is>
      </c>
      <c r="L1" s="1" t="inlineStr">
        <is>
          <t>8. Наличие 2FA (Да/Нет)</t>
        </is>
      </c>
      <c r="M1" s="1" t="inlineStr">
        <is>
          <t>9. Участие в сообществах</t>
        </is>
      </c>
      <c r="N1" s="1" t="inlineStr">
        <is>
          <t>10. Доверие к безопасности</t>
        </is>
      </c>
    </row>
    <row r="2">
      <c r="A2" s="2" t="inlineStr">
        <is>
          <t>2026-10-21 10:15:22</t>
        </is>
      </c>
      <c r="B2" s="2" t="inlineStr">
        <is>
          <t>Гайнанов Дамир Ильдарович</t>
        </is>
      </c>
      <c r="C2" s="2" t="inlineStr">
        <is>
          <t>gainanov.di@mail.ru</t>
        </is>
      </c>
      <c r="D2" s="2" t="inlineStr">
        <is>
          <t>2026-10-21</t>
        </is>
      </c>
      <c r="E2" s="2" t="inlineStr">
        <is>
          <t>Telegram</t>
        </is>
      </c>
      <c r="F2" s="2" t="inlineStr">
        <is>
          <t>1–3 часа</t>
        </is>
      </c>
      <c r="G2" s="2" t="inlineStr">
        <is>
          <t>Общение и новости</t>
        </is>
      </c>
      <c r="H2" s="2" t="inlineStr">
        <is>
          <t>Смартфон</t>
        </is>
      </c>
      <c r="I2" s="2" t="inlineStr">
        <is>
          <t>Текстовые посты и статьи</t>
        </is>
      </c>
      <c r="J2" s="2" t="inlineStr">
        <is>
          <t>Да</t>
        </is>
      </c>
      <c r="K2" s="2" t="inlineStr">
        <is>
          <t>Нейтрально</t>
        </is>
      </c>
      <c r="L2" s="2" t="inlineStr">
        <is>
          <t>Да</t>
        </is>
      </c>
      <c r="M2" s="2" t="inlineStr">
        <is>
          <t>Состою ради новостей</t>
        </is>
      </c>
      <c r="N2" s="2" t="inlineStr">
        <is>
          <t>Средняя</t>
        </is>
      </c>
    </row>
    <row r="3">
      <c r="A3" s="2" t="inlineStr">
        <is>
          <t>2026-10-21 10:18:40</t>
        </is>
      </c>
      <c r="B3" s="2" t="inlineStr">
        <is>
          <t>Гарифуллин Карим Радикович</t>
        </is>
      </c>
      <c r="C3" s="2" t="inlineStr">
        <is>
          <t>garifullin.kr@mail.ru</t>
        </is>
      </c>
      <c r="D3" s="2" t="inlineStr">
        <is>
          <t>2026-10-21</t>
        </is>
      </c>
      <c r="E3" s="2" t="inlineStr">
        <is>
          <t>Telegram</t>
        </is>
      </c>
      <c r="F3" s="2" t="inlineStr">
        <is>
          <t>3–5 часов</t>
        </is>
      </c>
      <c r="G3" s="2" t="inlineStr">
        <is>
          <t>Учеба и работа</t>
        </is>
      </c>
      <c r="H3" s="2" t="inlineStr">
        <is>
          <t>Смартфон</t>
        </is>
      </c>
      <c r="I3" s="2" t="inlineStr">
        <is>
          <t>Текстовые посты и статьи</t>
        </is>
      </c>
      <c r="J3" s="2" t="inlineStr">
        <is>
          <t>Да</t>
        </is>
      </c>
      <c r="K3" s="2" t="inlineStr">
        <is>
          <t>Нейтрально</t>
        </is>
      </c>
      <c r="L3" s="2" t="inlineStr">
        <is>
          <t>Да</t>
        </is>
      </c>
      <c r="M3" s="2" t="inlineStr">
        <is>
          <t>Активно участвую</t>
        </is>
      </c>
      <c r="N3" s="2" t="inlineStr">
        <is>
          <t>Высокая</t>
        </is>
      </c>
    </row>
    <row r="4">
      <c r="A4" s="2" t="inlineStr">
        <is>
          <t>2026-10-21 10:22:15</t>
        </is>
      </c>
      <c r="B4" s="2" t="inlineStr">
        <is>
          <t>Нигматуллин Ильшат Шамилевич</t>
        </is>
      </c>
      <c r="C4" s="2" t="inlineStr">
        <is>
          <t>nigmatullin.ish@mail.ru</t>
        </is>
      </c>
      <c r="D4" s="2" t="inlineStr">
        <is>
          <t>2026-10-21</t>
        </is>
      </c>
      <c r="E4" s="2" t="inlineStr">
        <is>
          <t>VK (ВКонтакте)</t>
        </is>
      </c>
      <c r="F4" s="2" t="inlineStr">
        <is>
          <t>1–3 часа</t>
        </is>
      </c>
      <c r="G4" s="2" t="inlineStr">
        <is>
          <t>Общение с друзьями</t>
        </is>
      </c>
      <c r="H4" s="2" t="inlineStr">
        <is>
          <t>Ноутбук / ПК</t>
        </is>
      </c>
      <c r="I4" s="2" t="inlineStr">
        <is>
          <t>Короткие видео (Клипы)</t>
        </is>
      </c>
      <c r="J4" s="2" t="inlineStr">
        <is>
          <t>Нет</t>
        </is>
      </c>
      <c r="K4" s="2" t="inlineStr">
        <is>
          <t>Отрицательно</t>
        </is>
      </c>
      <c r="L4" s="2" t="inlineStr">
        <is>
          <t>Да</t>
        </is>
      </c>
      <c r="M4" s="2" t="inlineStr">
        <is>
          <t>Состою ради новостей</t>
        </is>
      </c>
      <c r="N4" s="2" t="inlineStr">
        <is>
          <t>Средняя</t>
        </is>
      </c>
    </row>
    <row r="5">
      <c r="A5" s="2" t="inlineStr">
        <is>
          <t>2026-10-21 10:25:33</t>
        </is>
      </c>
      <c r="B5" s="2" t="inlineStr">
        <is>
          <t>Гайнетдинов Рустем Рашитович</t>
        </is>
      </c>
      <c r="C5" s="2" t="inlineStr">
        <is>
          <t>gainetdinov.rr@mail.ru</t>
        </is>
      </c>
      <c r="D5" s="2" t="inlineStr">
        <is>
          <t>2026-10-21</t>
        </is>
      </c>
      <c r="E5" s="2" t="inlineStr">
        <is>
          <t>Telegram</t>
        </is>
      </c>
      <c r="F5" s="2" t="inlineStr">
        <is>
          <t>1–3 часа</t>
        </is>
      </c>
      <c r="G5" s="2" t="inlineStr">
        <is>
          <t>Просмотр новостей</t>
        </is>
      </c>
      <c r="H5" s="2" t="inlineStr">
        <is>
          <t>Смартфон</t>
        </is>
      </c>
      <c r="I5" s="2" t="inlineStr">
        <is>
          <t>Длинные видео и подкасты</t>
        </is>
      </c>
      <c r="J5" s="2" t="inlineStr">
        <is>
          <t>Да</t>
        </is>
      </c>
      <c r="K5" s="2" t="inlineStr">
        <is>
          <t>Нейтрально</t>
        </is>
      </c>
      <c r="L5" s="2" t="inlineStr">
        <is>
          <t>Да</t>
        </is>
      </c>
      <c r="M5" s="2" t="inlineStr">
        <is>
          <t>Состою ради новостей</t>
        </is>
      </c>
      <c r="N5" s="2" t="inlineStr">
        <is>
          <t>Средняя</t>
        </is>
      </c>
    </row>
    <row r="6">
      <c r="A6" s="2" t="inlineStr">
        <is>
          <t>2026-10-21 10:30:11</t>
        </is>
      </c>
      <c r="B6" s="2" t="inlineStr">
        <is>
          <t>Вагапов Руслан Фаритович</t>
        </is>
      </c>
      <c r="C6" s="2" t="inlineStr">
        <is>
          <t>vagapov.rf@mail.ru</t>
        </is>
      </c>
      <c r="D6" s="2" t="inlineStr">
        <is>
          <t>2026-10-21</t>
        </is>
      </c>
      <c r="E6" s="2" t="inlineStr">
        <is>
          <t>VK (ВКонтакте)</t>
        </is>
      </c>
      <c r="F6" s="2" t="inlineStr">
        <is>
          <t>3–5 часов</t>
        </is>
      </c>
      <c r="G6" s="2" t="inlineStr">
        <is>
          <t>Развлекательный контент</t>
        </is>
      </c>
      <c r="H6" s="2" t="inlineStr">
        <is>
          <t>Смартфон</t>
        </is>
      </c>
      <c r="I6" s="2" t="inlineStr">
        <is>
          <t>Короткие видео (Клипы)</t>
        </is>
      </c>
      <c r="J6" s="2" t="inlineStr">
        <is>
          <t>Нет</t>
        </is>
      </c>
      <c r="K6" s="2" t="inlineStr">
        <is>
          <t>Отрицательно</t>
        </is>
      </c>
      <c r="L6" s="2" t="inlineStr">
        <is>
          <t>Да</t>
        </is>
      </c>
      <c r="M6" s="2" t="inlineStr">
        <is>
          <t>Состою ради новостей</t>
        </is>
      </c>
      <c r="N6" s="2" t="inlineStr">
        <is>
          <t>Низкая</t>
        </is>
      </c>
    </row>
    <row r="7">
      <c r="A7" s="2" t="inlineStr">
        <is>
          <t>2026-10-21 10:34:49</t>
        </is>
      </c>
      <c r="B7" s="2" t="inlineStr">
        <is>
          <t>Баширов Артур Ринатович</t>
        </is>
      </c>
      <c r="C7" s="2" t="inlineStr">
        <is>
          <t>bashirov.ar@mail.ru</t>
        </is>
      </c>
      <c r="D7" s="2" t="inlineStr">
        <is>
          <t>2026-10-21</t>
        </is>
      </c>
      <c r="E7" s="2" t="inlineStr">
        <is>
          <t>Telegram</t>
        </is>
      </c>
      <c r="F7" s="2" t="inlineStr">
        <is>
          <t>1–3 часа</t>
        </is>
      </c>
      <c r="G7" s="2" t="inlineStr">
        <is>
          <t>Общение и учеба</t>
        </is>
      </c>
      <c r="H7" s="2" t="inlineStr">
        <is>
          <t>Ноутбук / ПК</t>
        </is>
      </c>
      <c r="I7" s="2" t="inlineStr">
        <is>
          <t>Текстовые посты и статьи</t>
        </is>
      </c>
      <c r="J7" s="2" t="inlineStr">
        <is>
          <t>Да</t>
        </is>
      </c>
      <c r="K7" s="2" t="inlineStr">
        <is>
          <t>Положительно</t>
        </is>
      </c>
      <c r="L7" s="2" t="inlineStr">
        <is>
          <t>Да</t>
        </is>
      </c>
      <c r="M7" s="2" t="inlineStr">
        <is>
          <t>Активно участвую</t>
        </is>
      </c>
      <c r="N7" s="2" t="inlineStr">
        <is>
          <t>Средняя</t>
        </is>
      </c>
    </row>
    <row r="8">
      <c r="A8" s="2" t="inlineStr">
        <is>
          <t>2026-10-21 10:41:02</t>
        </is>
      </c>
      <c r="B8" s="2" t="inlineStr">
        <is>
          <t>Аскаров Руслан Маратович</t>
        </is>
      </c>
      <c r="C8" s="2" t="inlineStr">
        <is>
          <t>askarov.rm@mail.ru</t>
        </is>
      </c>
      <c r="D8" s="2" t="inlineStr">
        <is>
          <t>2026-10-21</t>
        </is>
      </c>
      <c r="E8" s="2" t="inlineStr">
        <is>
          <t>VK (ВКонтакте)</t>
        </is>
      </c>
      <c r="F8" s="2" t="inlineStr">
        <is>
          <t>Более 5 часов</t>
        </is>
      </c>
      <c r="G8" s="2" t="inlineStr">
        <is>
          <t>Развлекательный контент</t>
        </is>
      </c>
      <c r="H8" s="2" t="inlineStr">
        <is>
          <t>Смартфон</t>
        </is>
      </c>
      <c r="I8" s="2" t="inlineStr">
        <is>
          <t>Короткие видео (Клипы)</t>
        </is>
      </c>
      <c r="J8" s="2" t="inlineStr">
        <is>
          <t>Нет</t>
        </is>
      </c>
      <c r="K8" s="2" t="inlineStr">
        <is>
          <t>Нейтрально</t>
        </is>
      </c>
      <c r="L8" s="2" t="inlineStr">
        <is>
          <t>Да</t>
        </is>
      </c>
      <c r="M8" s="2" t="inlineStr">
        <is>
          <t>Не состою</t>
        </is>
      </c>
      <c r="N8" s="2" t="inlineStr">
        <is>
          <t>Средняя</t>
        </is>
      </c>
    </row>
    <row r="9">
      <c r="A9" s="2" t="inlineStr">
        <is>
          <t>2026-10-21 10:45:18</t>
        </is>
      </c>
      <c r="B9" s="2" t="inlineStr">
        <is>
          <t>Смирнов Алексей Викторович</t>
        </is>
      </c>
      <c r="C9" s="2" t="inlineStr">
        <is>
          <t>smirnov.av@mail.ru</t>
        </is>
      </c>
      <c r="D9" s="2" t="inlineStr">
        <is>
          <t>2026-10-21</t>
        </is>
      </c>
      <c r="E9" s="2" t="inlineStr">
        <is>
          <t>Rutube / YouTube</t>
        </is>
      </c>
      <c r="F9" s="2" t="inlineStr">
        <is>
          <t>1–3 часа</t>
        </is>
      </c>
      <c r="G9" s="2" t="inlineStr">
        <is>
          <t>Обучающие видео</t>
        </is>
      </c>
      <c r="H9" s="2" t="inlineStr">
        <is>
          <t>Ноутбук / ПК</t>
        </is>
      </c>
      <c r="I9" s="2" t="inlineStr">
        <is>
          <t>Длинные видео и подкасты</t>
        </is>
      </c>
      <c r="J9" s="2" t="inlineStr">
        <is>
          <t>Нет</t>
        </is>
      </c>
      <c r="K9" s="2" t="inlineStr">
        <is>
          <t>Отрицательно</t>
        </is>
      </c>
      <c r="L9" s="2" t="inlineStr">
        <is>
          <t>Нет</t>
        </is>
      </c>
      <c r="M9" s="2" t="inlineStr">
        <is>
          <t>Не состою</t>
        </is>
      </c>
      <c r="N9" s="2" t="inlineStr">
        <is>
          <t>Низкая</t>
        </is>
      </c>
    </row>
    <row r="10">
      <c r="A10" s="2" t="inlineStr">
        <is>
          <t>2026-10-21 10:52:05</t>
        </is>
      </c>
      <c r="B10" s="2" t="inlineStr">
        <is>
          <t>Кузнецов Дмитрий Сергеевич</t>
        </is>
      </c>
      <c r="C10" s="2" t="inlineStr">
        <is>
          <t>kuznetsov.ds@mail.ru</t>
        </is>
      </c>
      <c r="D10" s="2" t="inlineStr">
        <is>
          <t>2026-10-21</t>
        </is>
      </c>
      <c r="E10" s="2" t="inlineStr">
        <is>
          <t>Telegram</t>
        </is>
      </c>
      <c r="F10" s="2" t="inlineStr">
        <is>
          <t>3–5 часов</t>
        </is>
      </c>
      <c r="G10" s="2" t="inlineStr">
        <is>
          <t>Общение с друзьями</t>
        </is>
      </c>
      <c r="H10" s="2" t="inlineStr">
        <is>
          <t>Смартфон</t>
        </is>
      </c>
      <c r="I10" s="2" t="inlineStr">
        <is>
          <t>Фотографии и подборки</t>
        </is>
      </c>
      <c r="J10" s="2" t="inlineStr">
        <is>
          <t>Да</t>
        </is>
      </c>
      <c r="K10" s="2" t="inlineStr">
        <is>
          <t>Нейтрально</t>
        </is>
      </c>
      <c r="L10" s="2" t="inlineStr">
        <is>
          <t>Да</t>
        </is>
      </c>
      <c r="M10" s="2" t="inlineStr">
        <is>
          <t>Состою ради новостей</t>
        </is>
      </c>
      <c r="N10" s="2" t="inlineStr">
        <is>
          <t>Средняя</t>
        </is>
      </c>
    </row>
    <row r="11">
      <c r="A11" s="2" t="inlineStr">
        <is>
          <t>2026-10-21 10:58:30</t>
        </is>
      </c>
      <c r="B11" s="2" t="inlineStr">
        <is>
          <t>Васильев Игорь Петрович</t>
        </is>
      </c>
      <c r="C11" s="2" t="inlineStr">
        <is>
          <t>vasiliev.ip@mail.ru</t>
        </is>
      </c>
      <c r="D11" s="2" t="inlineStr">
        <is>
          <t>2026-10-21</t>
        </is>
      </c>
      <c r="E11" s="2" t="inlineStr">
        <is>
          <t>Другая</t>
        </is>
      </c>
      <c r="F11" s="2" t="inlineStr">
        <is>
          <t>Менее 1 часа</t>
        </is>
      </c>
      <c r="G11" s="2" t="inlineStr">
        <is>
          <t>Поиск информации</t>
        </is>
      </c>
      <c r="H11" s="2" t="inlineStr">
        <is>
          <t>Ноутбук / ПК</t>
        </is>
      </c>
      <c r="I11" s="2" t="inlineStr">
        <is>
          <t>Текстовые посты и статьи</t>
        </is>
      </c>
      <c r="J11" s="2" t="inlineStr">
        <is>
          <t>Нет</t>
        </is>
      </c>
      <c r="K11" s="2" t="inlineStr">
        <is>
          <t>Отрицательно</t>
        </is>
      </c>
      <c r="L11" s="2" t="inlineStr">
        <is>
          <t>Нет</t>
        </is>
      </c>
      <c r="M11" s="2" t="inlineStr">
        <is>
          <t>Не состою</t>
        </is>
      </c>
      <c r="N11" s="2" t="inlineStr">
        <is>
          <t>Низкая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6" customWidth="1" min="3" max="3"/>
    <col width="13" customWidth="1" min="4" max="4"/>
    <col width="19" customWidth="1" min="5" max="5"/>
    <col width="34" customWidth="1" min="6" max="6"/>
    <col width="17" customWidth="1" min="7" max="7"/>
    <col width="17" customWidth="1" min="8" max="8"/>
    <col width="30" customWidth="1" min="9" max="9"/>
    <col width="15" customWidth="1" min="10" max="10"/>
    <col width="28" customWidth="1" min="11" max="11"/>
    <col width="21" customWidth="1" min="12" max="12"/>
    <col width="16" customWidth="1" min="13" max="13"/>
    <col width="23" customWidth="1" min="14" max="14"/>
  </cols>
  <sheetData>
    <row r="1">
      <c r="A1" s="1" t="inlineStr">
        <is>
          <t>Отметка времени</t>
        </is>
      </c>
      <c r="B1" s="1" t="inlineStr">
        <is>
          <t>ФИО тестируемого</t>
        </is>
      </c>
      <c r="C1" s="1" t="inlineStr">
        <is>
          <t>E-mail</t>
        </is>
      </c>
      <c r="D1" s="1" t="inlineStr">
        <is>
          <t>Дата</t>
        </is>
      </c>
      <c r="E1" s="1" t="inlineStr">
        <is>
          <t>Q1 (Джоуль)</t>
        </is>
      </c>
      <c r="F1" s="1" t="inlineStr">
        <is>
          <t>Q2 (1 закон Ньютона)</t>
        </is>
      </c>
      <c r="G1" s="1" t="inlineStr">
        <is>
          <t>Q3 (Закон Ома)</t>
        </is>
      </c>
      <c r="H1" s="1" t="inlineStr">
        <is>
          <t>Q4 (Изохорный)</t>
        </is>
      </c>
      <c r="I1" s="1" t="inlineStr">
        <is>
          <t>Q5 (Оптоволокно)</t>
        </is>
      </c>
      <c r="J1" s="1" t="inlineStr">
        <is>
          <t>Q6 (Импульс)</t>
        </is>
      </c>
      <c r="K1" s="1" t="inlineStr">
        <is>
          <t>Q7 (Сила Архимеда)</t>
        </is>
      </c>
      <c r="L1" s="1" t="inlineStr">
        <is>
          <t>Q8 (Нейтрон)</t>
        </is>
      </c>
      <c r="M1" s="1" t="inlineStr">
        <is>
          <t>Q9 (Индукция)</t>
        </is>
      </c>
      <c r="N1" s="1" t="inlineStr">
        <is>
          <t>Q10 (Скорость света)</t>
        </is>
      </c>
    </row>
    <row r="2">
      <c r="A2" s="2" t="inlineStr">
        <is>
          <t>2026-10-21 11:05:10</t>
        </is>
      </c>
      <c r="B2" s="2" t="inlineStr">
        <is>
          <t>Гайнанов Дамир Ильдарович</t>
        </is>
      </c>
      <c r="C2" s="2" t="inlineStr">
        <is>
          <t>gainanov.di@mail.ru</t>
        </is>
      </c>
      <c r="D2" s="2" t="inlineStr">
        <is>
          <t>2026-10-21</t>
        </is>
      </c>
      <c r="E2" s="2" t="inlineStr">
        <is>
          <t>Энергия и работа</t>
        </is>
      </c>
      <c r="F2" s="2" t="inlineStr">
        <is>
          <t>Равнодействующая сил равна нулю</t>
        </is>
      </c>
      <c r="G2" s="2" t="inlineStr">
        <is>
          <t>I = U / R</t>
        </is>
      </c>
      <c r="H2" s="2" t="inlineStr">
        <is>
          <t>Изохорный</t>
        </is>
      </c>
      <c r="I2" s="2" t="inlineStr">
        <is>
          <t>Полное внутреннее отражение</t>
        </is>
      </c>
      <c r="J2" s="2" t="inlineStr">
        <is>
          <t>Импульс</t>
        </is>
      </c>
      <c r="K2" s="2" t="inlineStr">
        <is>
          <t>Весу вытесненной жидкости</t>
        </is>
      </c>
      <c r="L2" s="2" t="inlineStr">
        <is>
          <t>Нейтральный (ноль)</t>
        </is>
      </c>
      <c r="M2" s="2" t="inlineStr">
        <is>
          <t>Фарадей</t>
        </is>
      </c>
      <c r="N2" s="2" t="inlineStr">
        <is>
          <t>300 000 км/с</t>
        </is>
      </c>
    </row>
    <row r="3">
      <c r="A3" s="2" t="inlineStr">
        <is>
          <t>2026-10-21 11:08:44</t>
        </is>
      </c>
      <c r="B3" s="2" t="inlineStr">
        <is>
          <t>Гарифуллин Карим Радикович</t>
        </is>
      </c>
      <c r="C3" s="2" t="inlineStr">
        <is>
          <t>garifullin.kr@mail.ru</t>
        </is>
      </c>
      <c r="D3" s="2" t="inlineStr">
        <is>
          <t>2026-10-21</t>
        </is>
      </c>
      <c r="E3" s="2" t="inlineStr">
        <is>
          <t>Энергия и работа</t>
        </is>
      </c>
      <c r="F3" s="2" t="inlineStr">
        <is>
          <t>Равнодействующая сил равна нулю</t>
        </is>
      </c>
      <c r="G3" s="2" t="inlineStr">
        <is>
          <t>I = U / R</t>
        </is>
      </c>
      <c r="H3" s="2" t="inlineStr">
        <is>
          <t>Изохорный</t>
        </is>
      </c>
      <c r="I3" s="2" t="inlineStr">
        <is>
          <t>Полное внутреннее отражение</t>
        </is>
      </c>
      <c r="J3" s="2" t="inlineStr">
        <is>
          <t>Импульс</t>
        </is>
      </c>
      <c r="K3" s="2" t="inlineStr">
        <is>
          <t>Весу вытесненной жидкости</t>
        </is>
      </c>
      <c r="L3" s="2" t="inlineStr">
        <is>
          <t>Нейтральный (ноль)</t>
        </is>
      </c>
      <c r="M3" s="2" t="inlineStr">
        <is>
          <t>Фарадей</t>
        </is>
      </c>
      <c r="N3" s="2" t="inlineStr">
        <is>
          <t>300 000 км/с</t>
        </is>
      </c>
    </row>
    <row r="4">
      <c r="A4" s="2" t="inlineStr">
        <is>
          <t>2026-10-21 11:12:30</t>
        </is>
      </c>
      <c r="B4" s="2" t="inlineStr">
        <is>
          <t>Нигматуллин Ильшат Шамилевич</t>
        </is>
      </c>
      <c r="C4" s="2" t="inlineStr">
        <is>
          <t>nigmatullin.ish@mail.ru</t>
        </is>
      </c>
      <c r="D4" s="2" t="inlineStr">
        <is>
          <t>2026-10-21</t>
        </is>
      </c>
      <c r="E4" s="2" t="inlineStr">
        <is>
          <t>Энергия и работа</t>
        </is>
      </c>
      <c r="F4" s="2" t="inlineStr">
        <is>
          <t>Равнодействующая сил равна нулю</t>
        </is>
      </c>
      <c r="G4" s="2" t="inlineStr">
        <is>
          <t>I = U / R</t>
        </is>
      </c>
      <c r="H4" s="2" t="inlineStr">
        <is>
          <t>Изохорный</t>
        </is>
      </c>
      <c r="I4" s="2" t="inlineStr">
        <is>
          <t>Полное внутреннее отражение</t>
        </is>
      </c>
      <c r="J4" s="2" t="inlineStr">
        <is>
          <t>Импульс</t>
        </is>
      </c>
      <c r="K4" s="2" t="inlineStr">
        <is>
          <t>Весу вытесненной жидкости</t>
        </is>
      </c>
      <c r="L4" s="2" t="inlineStr">
        <is>
          <t>Нейтральный (ноль)</t>
        </is>
      </c>
      <c r="M4" s="2" t="inlineStr">
        <is>
          <t>Максвелл</t>
        </is>
      </c>
      <c r="N4" s="2" t="inlineStr">
        <is>
          <t>300 000 км/с</t>
        </is>
      </c>
    </row>
    <row r="5">
      <c r="A5" s="2" t="inlineStr">
        <is>
          <t>2026-10-21 11:15:20</t>
        </is>
      </c>
      <c r="B5" s="2" t="inlineStr">
        <is>
          <t>Гайнетдинов Рустем Рашитович</t>
        </is>
      </c>
      <c r="C5" s="2" t="inlineStr">
        <is>
          <t>gainetdinov.rr@mail.ru</t>
        </is>
      </c>
      <c r="D5" s="2" t="inlineStr">
        <is>
          <t>2026-10-21</t>
        </is>
      </c>
      <c r="E5" s="2" t="inlineStr">
        <is>
          <t>Энергия и работа</t>
        </is>
      </c>
      <c r="F5" s="2" t="inlineStr">
        <is>
          <t>Равнодействующая сил равна нулю</t>
        </is>
      </c>
      <c r="G5" s="2" t="inlineStr">
        <is>
          <t>I = U / R</t>
        </is>
      </c>
      <c r="H5" s="2" t="inlineStr">
        <is>
          <t>Изобарный</t>
        </is>
      </c>
      <c r="I5" s="2" t="inlineStr">
        <is>
          <t>Полное внутреннее отражение</t>
        </is>
      </c>
      <c r="J5" s="2" t="inlineStr">
        <is>
          <t>Импульс</t>
        </is>
      </c>
      <c r="K5" s="2" t="inlineStr">
        <is>
          <t>Весу вытесненной жидкости</t>
        </is>
      </c>
      <c r="L5" s="2" t="inlineStr">
        <is>
          <t>Нейтральный (ноль)</t>
        </is>
      </c>
      <c r="M5" s="2" t="inlineStr">
        <is>
          <t>Фарадей</t>
        </is>
      </c>
      <c r="N5" s="2" t="inlineStr">
        <is>
          <t>150 000 км/с</t>
        </is>
      </c>
    </row>
    <row r="6">
      <c r="A6" s="2" t="inlineStr">
        <is>
          <t>2026-10-21 11:19:05</t>
        </is>
      </c>
      <c r="B6" s="2" t="inlineStr">
        <is>
          <t>Вагапов Руслан Фаритович</t>
        </is>
      </c>
      <c r="C6" s="2" t="inlineStr">
        <is>
          <t>vagapov.rf@mail.ru</t>
        </is>
      </c>
      <c r="D6" s="2" t="inlineStr">
        <is>
          <t>2026-10-21</t>
        </is>
      </c>
      <c r="E6" s="2" t="inlineStr">
        <is>
          <t>Энергия и работа</t>
        </is>
      </c>
      <c r="F6" s="2" t="inlineStr">
        <is>
          <t>Равнодействующая сил равна нулю</t>
        </is>
      </c>
      <c r="G6" s="2" t="inlineStr">
        <is>
          <t>I = U / R</t>
        </is>
      </c>
      <c r="H6" s="2" t="inlineStr">
        <is>
          <t>Изохорный</t>
        </is>
      </c>
      <c r="I6" s="2" t="inlineStr">
        <is>
          <t>Дифракция света</t>
        </is>
      </c>
      <c r="J6" s="2" t="inlineStr">
        <is>
          <t>Импульс</t>
        </is>
      </c>
      <c r="K6" s="2" t="inlineStr">
        <is>
          <t>Весу вытесненной жидкости</t>
        </is>
      </c>
      <c r="L6" s="2" t="inlineStr">
        <is>
          <t>Нейтральный (ноль)</t>
        </is>
      </c>
      <c r="M6" s="2" t="inlineStr">
        <is>
          <t>Фарадей</t>
        </is>
      </c>
      <c r="N6" s="2" t="inlineStr">
        <is>
          <t>300 000 км/с</t>
        </is>
      </c>
    </row>
    <row r="7">
      <c r="A7" s="2" t="inlineStr">
        <is>
          <t>2026-10-21 11:24:12</t>
        </is>
      </c>
      <c r="B7" s="2" t="inlineStr">
        <is>
          <t>Баширов Артур Ринатович</t>
        </is>
      </c>
      <c r="C7" s="2" t="inlineStr">
        <is>
          <t>bashirov.ar@mail.ru</t>
        </is>
      </c>
      <c r="D7" s="2" t="inlineStr">
        <is>
          <t>2026-10-21</t>
        </is>
      </c>
      <c r="E7" s="2" t="inlineStr">
        <is>
          <t>Сила</t>
        </is>
      </c>
      <c r="F7" s="2" t="inlineStr">
        <is>
          <t>Равнодействующая сил равна нулю</t>
        </is>
      </c>
      <c r="G7" s="2" t="inlineStr">
        <is>
          <t>I = U / R</t>
        </is>
      </c>
      <c r="H7" s="2" t="inlineStr">
        <is>
          <t>Изохорный</t>
        </is>
      </c>
      <c r="I7" s="2" t="inlineStr">
        <is>
          <t>Полное внутреннее отражение</t>
        </is>
      </c>
      <c r="J7" s="2" t="inlineStr">
        <is>
          <t>Импульс</t>
        </is>
      </c>
      <c r="K7" s="2" t="inlineStr">
        <is>
          <t>Массе самого тела</t>
        </is>
      </c>
      <c r="L7" s="2" t="inlineStr">
        <is>
          <t>Нейтральный (ноль)</t>
        </is>
      </c>
      <c r="M7" s="2" t="inlineStr">
        <is>
          <t>Фарадей</t>
        </is>
      </c>
      <c r="N7" s="2" t="inlineStr">
        <is>
          <t>300 000 м/с</t>
        </is>
      </c>
    </row>
    <row r="8">
      <c r="A8" s="2" t="inlineStr">
        <is>
          <t>2026-10-21 11:29:50</t>
        </is>
      </c>
      <c r="B8" s="2" t="inlineStr">
        <is>
          <t>Аскаров Руслан Маратович</t>
        </is>
      </c>
      <c r="C8" s="2" t="inlineStr">
        <is>
          <t>askarov.rm@mail.ru</t>
        </is>
      </c>
      <c r="D8" s="2" t="inlineStr">
        <is>
          <t>2026-10-21</t>
        </is>
      </c>
      <c r="E8" s="2" t="inlineStr">
        <is>
          <t>Энергия и работа</t>
        </is>
      </c>
      <c r="F8" s="2" t="inlineStr">
        <is>
          <t>Равнодействующая сил равна нулю</t>
        </is>
      </c>
      <c r="G8" s="2" t="inlineStr">
        <is>
          <t>I = U * R</t>
        </is>
      </c>
      <c r="H8" s="2" t="inlineStr">
        <is>
          <t>Изохорный</t>
        </is>
      </c>
      <c r="I8" s="2" t="inlineStr">
        <is>
          <t>Полное внутреннее отражение</t>
        </is>
      </c>
      <c r="J8" s="2" t="inlineStr">
        <is>
          <t>Импульс</t>
        </is>
      </c>
      <c r="K8" s="2" t="inlineStr">
        <is>
          <t>Весу вытесненной жидкости</t>
        </is>
      </c>
      <c r="L8" s="2" t="inlineStr">
        <is>
          <t>Положительный (+1)</t>
        </is>
      </c>
      <c r="M8" s="2" t="inlineStr">
        <is>
          <t>Фарадей</t>
        </is>
      </c>
      <c r="N8" s="2" t="inlineStr">
        <is>
          <t>300 000 км/с</t>
        </is>
      </c>
    </row>
    <row r="9">
      <c r="A9" s="2" t="inlineStr">
        <is>
          <t>2026-10-21 11:35:14</t>
        </is>
      </c>
      <c r="B9" s="2" t="inlineStr">
        <is>
          <t>Смирнов Алексей Викторович</t>
        </is>
      </c>
      <c r="C9" s="2" t="inlineStr">
        <is>
          <t>smirnov.av@mail.ru</t>
        </is>
      </c>
      <c r="D9" s="2" t="inlineStr">
        <is>
          <t>2026-10-21</t>
        </is>
      </c>
      <c r="E9" s="2" t="inlineStr">
        <is>
          <t>Мощность</t>
        </is>
      </c>
      <c r="F9" s="2" t="inlineStr">
        <is>
          <t>Равнодействующая сил равна нулю</t>
        </is>
      </c>
      <c r="G9" s="2" t="inlineStr">
        <is>
          <t>I = U / R</t>
        </is>
      </c>
      <c r="H9" s="2" t="inlineStr">
        <is>
          <t>Изотермический</t>
        </is>
      </c>
      <c r="I9" s="2" t="inlineStr">
        <is>
          <t>Полное внутреннее отражение</t>
        </is>
      </c>
      <c r="J9" s="2" t="inlineStr">
        <is>
          <t>Скорость</t>
        </is>
      </c>
      <c r="K9" s="2" t="inlineStr">
        <is>
          <t>Весу вытесненной жидкости</t>
        </is>
      </c>
      <c r="L9" s="2" t="inlineStr">
        <is>
          <t>Нейтральный (ноль)</t>
        </is>
      </c>
      <c r="M9" s="2" t="inlineStr">
        <is>
          <t>Ньютон</t>
        </is>
      </c>
      <c r="N9" s="2" t="inlineStr">
        <is>
          <t>300 000 км/с</t>
        </is>
      </c>
    </row>
    <row r="10">
      <c r="A10" s="2" t="inlineStr">
        <is>
          <t>2026-10-21 11:42:01</t>
        </is>
      </c>
      <c r="B10" s="2" t="inlineStr">
        <is>
          <t>Кузнецов Дмитрий Сергеевич</t>
        </is>
      </c>
      <c r="C10" s="2" t="inlineStr">
        <is>
          <t>kuznetsov.ds@mail.ru</t>
        </is>
      </c>
      <c r="D10" s="2" t="inlineStr">
        <is>
          <t>2026-10-21</t>
        </is>
      </c>
      <c r="E10" s="2" t="inlineStr">
        <is>
          <t>Энергия и работа</t>
        </is>
      </c>
      <c r="F10" s="2" t="inlineStr">
        <is>
          <t>Постоянная сила</t>
        </is>
      </c>
      <c r="G10" s="2" t="inlineStr">
        <is>
          <t>I = U / R</t>
        </is>
      </c>
      <c r="H10" s="2" t="inlineStr">
        <is>
          <t>Изохорный</t>
        </is>
      </c>
      <c r="I10" s="2" t="inlineStr">
        <is>
          <t>Поляризация света</t>
        </is>
      </c>
      <c r="J10" s="2" t="inlineStr">
        <is>
          <t>Импульс</t>
        </is>
      </c>
      <c r="K10" s="2" t="inlineStr">
        <is>
          <t>Весу вытесненной жидкости</t>
        </is>
      </c>
      <c r="L10" s="2" t="inlineStr">
        <is>
          <t>Нейтральный (ноль)</t>
        </is>
      </c>
      <c r="M10" s="2" t="inlineStr">
        <is>
          <t>Фарадей</t>
        </is>
      </c>
      <c r="N10" s="2" t="inlineStr">
        <is>
          <t>300 000 м/с</t>
        </is>
      </c>
    </row>
    <row r="11">
      <c r="A11" s="2" t="inlineStr">
        <is>
          <t>2026-10-21 11:49:15</t>
        </is>
      </c>
      <c r="B11" s="2" t="inlineStr">
        <is>
          <t>Васильев Игорь Петрович</t>
        </is>
      </c>
      <c r="C11" s="2" t="inlineStr">
        <is>
          <t>vasiliev.ip@mail.ru</t>
        </is>
      </c>
      <c r="D11" s="2" t="inlineStr">
        <is>
          <t>2026-10-21</t>
        </is>
      </c>
      <c r="E11" s="2" t="inlineStr">
        <is>
          <t>Давление</t>
        </is>
      </c>
      <c r="F11" s="2" t="inlineStr">
        <is>
          <t>Постоянная сила</t>
        </is>
      </c>
      <c r="G11" s="2" t="inlineStr">
        <is>
          <t>P = U * I</t>
        </is>
      </c>
      <c r="H11" s="2" t="inlineStr">
        <is>
          <t>Изобарный</t>
        </is>
      </c>
      <c r="I11" s="2" t="inlineStr">
        <is>
          <t>Полное внутреннее отражение</t>
        </is>
      </c>
      <c r="J11" s="2" t="inlineStr">
        <is>
          <t>Ускорение</t>
        </is>
      </c>
      <c r="K11" s="2" t="inlineStr">
        <is>
          <t>Весу вытесненной жидкости</t>
        </is>
      </c>
      <c r="L11" s="2" t="inlineStr">
        <is>
          <t>Отрицательный (-1)</t>
        </is>
      </c>
      <c r="M11" s="2" t="inlineStr">
        <is>
          <t>Фарадей</t>
        </is>
      </c>
      <c r="N11" s="2" t="inlineStr">
        <is>
          <t>300 000 км/с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51" customWidth="1" min="3" max="3"/>
    <col width="66" customWidth="1" min="4" max="4"/>
    <col width="44" customWidth="1" min="5" max="5"/>
    <col width="44" customWidth="1" min="6" max="6"/>
    <col width="62" customWidth="1" min="7" max="7"/>
    <col width="55" customWidth="1" min="8" max="8"/>
    <col width="60" customWidth="1" min="9" max="9"/>
    <col width="53" customWidth="1" min="10" max="10"/>
    <col width="55" customWidth="1" min="11" max="11"/>
    <col width="47" customWidth="1" min="12" max="12"/>
    <col width="19" customWidth="1" min="13" max="13"/>
    <col width="104" customWidth="1" min="14" max="14"/>
  </cols>
  <sheetData>
    <row r="1">
      <c r="A1" s="1" t="inlineStr">
        <is>
          <t>Отметка времени</t>
        </is>
      </c>
      <c r="B1" s="1" t="inlineStr">
        <is>
          <t>ФИО тестируемого</t>
        </is>
      </c>
      <c r="C1" s="1" t="inlineStr">
        <is>
          <t>Балл Q1</t>
        </is>
      </c>
      <c r="D1" s="1" t="inlineStr">
        <is>
          <t>Балл Q2</t>
        </is>
      </c>
      <c r="E1" s="1" t="inlineStr">
        <is>
          <t>Балл Q3</t>
        </is>
      </c>
      <c r="F1" s="1" t="inlineStr">
        <is>
          <t>Балл Q4</t>
        </is>
      </c>
      <c r="G1" s="1" t="inlineStr">
        <is>
          <t>Балл Q5</t>
        </is>
      </c>
      <c r="H1" s="1" t="inlineStr">
        <is>
          <t>Балл Q6</t>
        </is>
      </c>
      <c r="I1" s="1" t="inlineStr">
        <is>
          <t>Балл Q7</t>
        </is>
      </c>
      <c r="J1" s="1" t="inlineStr">
        <is>
          <t>Балл Q8</t>
        </is>
      </c>
      <c r="K1" s="1" t="inlineStr">
        <is>
          <t>Балл Q9</t>
        </is>
      </c>
      <c r="L1" s="1" t="inlineStr">
        <is>
          <t>Балл Q10</t>
        </is>
      </c>
      <c r="M1" s="1" t="inlineStr">
        <is>
          <t>ИТОГО БАЛЛОВ</t>
        </is>
      </c>
      <c r="N1" s="1" t="inlineStr">
        <is>
          <t>ОЦЕНКА</t>
        </is>
      </c>
    </row>
    <row r="2">
      <c r="A2" s="3">
        <f>'Ответы теста'!A2</f>
        <v/>
      </c>
      <c r="B2" s="3">
        <f>'Ответы теста'!B2</f>
        <v/>
      </c>
      <c r="C2" s="3">
        <f>IF('Ответы теста'!E2="Энергия и работа", 1, 0)</f>
        <v/>
      </c>
      <c r="D2" s="3">
        <f>IF('Ответы теста'!F2="Равнодействующая сил равна нулю", 1, 0)</f>
        <v/>
      </c>
      <c r="E2" s="3">
        <f>IF('Ответы теста'!G2="I = U / R", 1, 0)</f>
        <v/>
      </c>
      <c r="F2" s="3">
        <f>IF('Ответы теста'!H2="Изохорный", 1, 0)</f>
        <v/>
      </c>
      <c r="G2" s="3">
        <f>IF('Ответы теста'!I2="Полное внутреннее отражение", 1, 0)</f>
        <v/>
      </c>
      <c r="H2" s="3">
        <f>IF(LOWER(TRIM('Ответы теста'!J2))="импульс", 1, 0)</f>
        <v/>
      </c>
      <c r="I2" s="3">
        <f>IF('Ответы теста'!K2="Весу вытесненной жидкости", 1, 0)</f>
        <v/>
      </c>
      <c r="J2" s="3">
        <f>IF('Ответы теста'!L2="Нейтральный (ноль)", 1, 0)</f>
        <v/>
      </c>
      <c r="K2" s="3">
        <f>IF(LOWER(TRIM('Ответы теста'!M2))="фарадей", 1, 0)</f>
        <v/>
      </c>
      <c r="L2" s="3">
        <f>IF('Ответы теста'!N2="300 000 км/с", 1, 0)</f>
        <v/>
      </c>
      <c r="M2" s="3">
        <f>SUM(C2:L2)</f>
        <v/>
      </c>
      <c r="N2" s="3">
        <f>IF(M2&gt;=10, "Отлично", IF(M2&gt;=8, "Хорошо", IF(M2&gt;=6, "Удовлетворительно", "Неудовлетворительно")))</f>
        <v/>
      </c>
    </row>
    <row r="3">
      <c r="A3" s="3">
        <f>'Ответы теста'!A3</f>
        <v/>
      </c>
      <c r="B3" s="3">
        <f>'Ответы теста'!B3</f>
        <v/>
      </c>
      <c r="C3" s="3">
        <f>IF('Ответы теста'!E3="Энергия и работа", 1, 0)</f>
        <v/>
      </c>
      <c r="D3" s="3">
        <f>IF('Ответы теста'!F3="Равнодействующая сил равна нулю", 1, 0)</f>
        <v/>
      </c>
      <c r="E3" s="3">
        <f>IF('Ответы теста'!G3="I = U / R", 1, 0)</f>
        <v/>
      </c>
      <c r="F3" s="3">
        <f>IF('Ответы теста'!H3="Изохорный", 1, 0)</f>
        <v/>
      </c>
      <c r="G3" s="3">
        <f>IF('Ответы теста'!I3="Полное внутреннее отражение", 1, 0)</f>
        <v/>
      </c>
      <c r="H3" s="3">
        <f>IF(LOWER(TRIM('Ответы теста'!J3))="импульс", 1, 0)</f>
        <v/>
      </c>
      <c r="I3" s="3">
        <f>IF('Ответы теста'!K3="Весу вытесненной жидкости", 1, 0)</f>
        <v/>
      </c>
      <c r="J3" s="3">
        <f>IF('Ответы теста'!L3="Нейтральный (ноль)", 1, 0)</f>
        <v/>
      </c>
      <c r="K3" s="3">
        <f>IF(LOWER(TRIM('Ответы теста'!M3))="фарадей", 1, 0)</f>
        <v/>
      </c>
      <c r="L3" s="3">
        <f>IF('Ответы теста'!N3="300 000 км/с", 1, 0)</f>
        <v/>
      </c>
      <c r="M3" s="3">
        <f>SUM(C3:L3)</f>
        <v/>
      </c>
      <c r="N3" s="3">
        <f>IF(M3&gt;=10, "Отлично", IF(M3&gt;=8, "Хорошо", IF(M3&gt;=6, "Удовлетворительно", "Неудовлетворительно")))</f>
        <v/>
      </c>
    </row>
    <row r="4">
      <c r="A4" s="3">
        <f>'Ответы теста'!A4</f>
        <v/>
      </c>
      <c r="B4" s="3">
        <f>'Ответы теста'!B4</f>
        <v/>
      </c>
      <c r="C4" s="3">
        <f>IF('Ответы теста'!E4="Энергия и работа", 1, 0)</f>
        <v/>
      </c>
      <c r="D4" s="3">
        <f>IF('Ответы теста'!F4="Равнодействующая сил равна нулю", 1, 0)</f>
        <v/>
      </c>
      <c r="E4" s="3">
        <f>IF('Ответы теста'!G4="I = U / R", 1, 0)</f>
        <v/>
      </c>
      <c r="F4" s="3">
        <f>IF('Ответы теста'!H4="Изохорный", 1, 0)</f>
        <v/>
      </c>
      <c r="G4" s="3">
        <f>IF('Ответы теста'!I4="Полное внутреннее отражение", 1, 0)</f>
        <v/>
      </c>
      <c r="H4" s="3">
        <f>IF(LOWER(TRIM('Ответы теста'!J4))="импульс", 1, 0)</f>
        <v/>
      </c>
      <c r="I4" s="3">
        <f>IF('Ответы теста'!K4="Весу вытесненной жидкости", 1, 0)</f>
        <v/>
      </c>
      <c r="J4" s="3">
        <f>IF('Ответы теста'!L4="Нейтральный (ноль)", 1, 0)</f>
        <v/>
      </c>
      <c r="K4" s="3">
        <f>IF(LOWER(TRIM('Ответы теста'!M4))="фарадей", 1, 0)</f>
        <v/>
      </c>
      <c r="L4" s="3">
        <f>IF('Ответы теста'!N4="300 000 км/с", 1, 0)</f>
        <v/>
      </c>
      <c r="M4" s="3">
        <f>SUM(C4:L4)</f>
        <v/>
      </c>
      <c r="N4" s="3">
        <f>IF(M4&gt;=10, "Отлично", IF(M4&gt;=8, "Хорошо", IF(M4&gt;=6, "Удовлетворительно", "Неудовлетворительно")))</f>
        <v/>
      </c>
    </row>
    <row r="5">
      <c r="A5" s="3">
        <f>'Ответы теста'!A5</f>
        <v/>
      </c>
      <c r="B5" s="3">
        <f>'Ответы теста'!B5</f>
        <v/>
      </c>
      <c r="C5" s="3">
        <f>IF('Ответы теста'!E5="Энергия и работа", 1, 0)</f>
        <v/>
      </c>
      <c r="D5" s="3">
        <f>IF('Ответы теста'!F5="Равнодействующая сил равна нулю", 1, 0)</f>
        <v/>
      </c>
      <c r="E5" s="3">
        <f>IF('Ответы теста'!G5="I = U / R", 1, 0)</f>
        <v/>
      </c>
      <c r="F5" s="3">
        <f>IF('Ответы теста'!H5="Изохорный", 1, 0)</f>
        <v/>
      </c>
      <c r="G5" s="3">
        <f>IF('Ответы теста'!I5="Полное внутреннее отражение", 1, 0)</f>
        <v/>
      </c>
      <c r="H5" s="3">
        <f>IF(LOWER(TRIM('Ответы теста'!J5))="импульс", 1, 0)</f>
        <v/>
      </c>
      <c r="I5" s="3">
        <f>IF('Ответы теста'!K5="Весу вытесненной жидкости", 1, 0)</f>
        <v/>
      </c>
      <c r="J5" s="3">
        <f>IF('Ответы теста'!L5="Нейтральный (ноль)", 1, 0)</f>
        <v/>
      </c>
      <c r="K5" s="3">
        <f>IF(LOWER(TRIM('Ответы теста'!M5))="фарадей", 1, 0)</f>
        <v/>
      </c>
      <c r="L5" s="3">
        <f>IF('Ответы теста'!N5="300 000 км/с", 1, 0)</f>
        <v/>
      </c>
      <c r="M5" s="3">
        <f>SUM(C5:L5)</f>
        <v/>
      </c>
      <c r="N5" s="3">
        <f>IF(M5&gt;=10, "Отлично", IF(M5&gt;=8, "Хорошо", IF(M5&gt;=6, "Удовлетворительно", "Неудовлетворительно")))</f>
        <v/>
      </c>
    </row>
    <row r="6">
      <c r="A6" s="3">
        <f>'Ответы теста'!A6</f>
        <v/>
      </c>
      <c r="B6" s="3">
        <f>'Ответы теста'!B6</f>
        <v/>
      </c>
      <c r="C6" s="3">
        <f>IF('Ответы теста'!E6="Энергия и работа", 1, 0)</f>
        <v/>
      </c>
      <c r="D6" s="3">
        <f>IF('Ответы теста'!F6="Равнодействующая сил равна нулю", 1, 0)</f>
        <v/>
      </c>
      <c r="E6" s="3">
        <f>IF('Ответы теста'!G6="I = U / R", 1, 0)</f>
        <v/>
      </c>
      <c r="F6" s="3">
        <f>IF('Ответы теста'!H6="Изохорный", 1, 0)</f>
        <v/>
      </c>
      <c r="G6" s="3">
        <f>IF('Ответы теста'!I6="Полное внутреннее отражение", 1, 0)</f>
        <v/>
      </c>
      <c r="H6" s="3">
        <f>IF(LOWER(TRIM('Ответы теста'!J6))="импульс", 1, 0)</f>
        <v/>
      </c>
      <c r="I6" s="3">
        <f>IF('Ответы теста'!K6="Весу вытесненной жидкости", 1, 0)</f>
        <v/>
      </c>
      <c r="J6" s="3">
        <f>IF('Ответы теста'!L6="Нейтральный (ноль)", 1, 0)</f>
        <v/>
      </c>
      <c r="K6" s="3">
        <f>IF(LOWER(TRIM('Ответы теста'!M6))="фарадей", 1, 0)</f>
        <v/>
      </c>
      <c r="L6" s="3">
        <f>IF('Ответы теста'!N6="300 000 км/с", 1, 0)</f>
        <v/>
      </c>
      <c r="M6" s="3">
        <f>SUM(C6:L6)</f>
        <v/>
      </c>
      <c r="N6" s="3">
        <f>IF(M6&gt;=10, "Отлично", IF(M6&gt;=8, "Хорошо", IF(M6&gt;=6, "Удовлетворительно", "Неудовлетворительно")))</f>
        <v/>
      </c>
    </row>
    <row r="7">
      <c r="A7" s="3">
        <f>'Ответы теста'!A7</f>
        <v/>
      </c>
      <c r="B7" s="3">
        <f>'Ответы теста'!B7</f>
        <v/>
      </c>
      <c r="C7" s="3">
        <f>IF('Ответы теста'!E7="Энергия и работа", 1, 0)</f>
        <v/>
      </c>
      <c r="D7" s="3">
        <f>IF('Ответы теста'!F7="Равнодействующая сил равна нулю", 1, 0)</f>
        <v/>
      </c>
      <c r="E7" s="3">
        <f>IF('Ответы теста'!G7="I = U / R", 1, 0)</f>
        <v/>
      </c>
      <c r="F7" s="3">
        <f>IF('Ответы теста'!H7="Изохорный", 1, 0)</f>
        <v/>
      </c>
      <c r="G7" s="3">
        <f>IF('Ответы теста'!I7="Полное внутреннее отражение", 1, 0)</f>
        <v/>
      </c>
      <c r="H7" s="3">
        <f>IF(LOWER(TRIM('Ответы теста'!J7))="импульс", 1, 0)</f>
        <v/>
      </c>
      <c r="I7" s="3">
        <f>IF('Ответы теста'!K7="Весу вытесненной жидкости", 1, 0)</f>
        <v/>
      </c>
      <c r="J7" s="3">
        <f>IF('Ответы теста'!L7="Нейтральный (ноль)", 1, 0)</f>
        <v/>
      </c>
      <c r="K7" s="3">
        <f>IF(LOWER(TRIM('Ответы теста'!M7))="фарадей", 1, 0)</f>
        <v/>
      </c>
      <c r="L7" s="3">
        <f>IF('Ответы теста'!N7="300 000 км/с", 1, 0)</f>
        <v/>
      </c>
      <c r="M7" s="3">
        <f>SUM(C7:L7)</f>
        <v/>
      </c>
      <c r="N7" s="3">
        <f>IF(M7&gt;=10, "Отлично", IF(M7&gt;=8, "Хорошо", IF(M7&gt;=6, "Удовлетворительно", "Неудовлетворительно")))</f>
        <v/>
      </c>
    </row>
    <row r="8">
      <c r="A8" s="3">
        <f>'Ответы теста'!A8</f>
        <v/>
      </c>
      <c r="B8" s="3">
        <f>'Ответы теста'!B8</f>
        <v/>
      </c>
      <c r="C8" s="3">
        <f>IF('Ответы теста'!E8="Энергия и работа", 1, 0)</f>
        <v/>
      </c>
      <c r="D8" s="3">
        <f>IF('Ответы теста'!F8="Равнодействующая сил равна нулю", 1, 0)</f>
        <v/>
      </c>
      <c r="E8" s="3">
        <f>IF('Ответы теста'!G8="I = U / R", 1, 0)</f>
        <v/>
      </c>
      <c r="F8" s="3">
        <f>IF('Ответы теста'!H8="Изохорный", 1, 0)</f>
        <v/>
      </c>
      <c r="G8" s="3">
        <f>IF('Ответы теста'!I8="Полное внутреннее отражение", 1, 0)</f>
        <v/>
      </c>
      <c r="H8" s="3">
        <f>IF(LOWER(TRIM('Ответы теста'!J8))="импульс", 1, 0)</f>
        <v/>
      </c>
      <c r="I8" s="3">
        <f>IF('Ответы теста'!K8="Весу вытесненной жидкости", 1, 0)</f>
        <v/>
      </c>
      <c r="J8" s="3">
        <f>IF('Ответы теста'!L8="Нейтральный (ноль)", 1, 0)</f>
        <v/>
      </c>
      <c r="K8" s="3">
        <f>IF(LOWER(TRIM('Ответы теста'!M8))="фарадей", 1, 0)</f>
        <v/>
      </c>
      <c r="L8" s="3">
        <f>IF('Ответы теста'!N8="300 000 км/с", 1, 0)</f>
        <v/>
      </c>
      <c r="M8" s="3">
        <f>SUM(C8:L8)</f>
        <v/>
      </c>
      <c r="N8" s="3">
        <f>IF(M8&gt;=10, "Отлично", IF(M8&gt;=8, "Хорошо", IF(M8&gt;=6, "Удовлетворительно", "Неудовлетворительно")))</f>
        <v/>
      </c>
    </row>
    <row r="9">
      <c r="A9" s="3">
        <f>'Ответы теста'!A9</f>
        <v/>
      </c>
      <c r="B9" s="3">
        <f>'Ответы теста'!B9</f>
        <v/>
      </c>
      <c r="C9" s="3">
        <f>IF('Ответы теста'!E9="Энергия и работа", 1, 0)</f>
        <v/>
      </c>
      <c r="D9" s="3">
        <f>IF('Ответы теста'!F9="Равнодействующая сил равна нулю", 1, 0)</f>
        <v/>
      </c>
      <c r="E9" s="3">
        <f>IF('Ответы теста'!G9="I = U / R", 1, 0)</f>
        <v/>
      </c>
      <c r="F9" s="3">
        <f>IF('Ответы теста'!H9="Изохорный", 1, 0)</f>
        <v/>
      </c>
      <c r="G9" s="3">
        <f>IF('Ответы теста'!I9="Полное внутреннее отражение", 1, 0)</f>
        <v/>
      </c>
      <c r="H9" s="3">
        <f>IF(LOWER(TRIM('Ответы теста'!J9))="импульс", 1, 0)</f>
        <v/>
      </c>
      <c r="I9" s="3">
        <f>IF('Ответы теста'!K9="Весу вытесненной жидкости", 1, 0)</f>
        <v/>
      </c>
      <c r="J9" s="3">
        <f>IF('Ответы теста'!L9="Нейтральный (ноль)", 1, 0)</f>
        <v/>
      </c>
      <c r="K9" s="3">
        <f>IF(LOWER(TRIM('Ответы теста'!M9))="фарадей", 1, 0)</f>
        <v/>
      </c>
      <c r="L9" s="3">
        <f>IF('Ответы теста'!N9="300 000 км/с", 1, 0)</f>
        <v/>
      </c>
      <c r="M9" s="3">
        <f>SUM(C9:L9)</f>
        <v/>
      </c>
      <c r="N9" s="3">
        <f>IF(M9&gt;=10, "Отлично", IF(M9&gt;=8, "Хорошо", IF(M9&gt;=6, "Удовлетворительно", "Неудовлетворительно")))</f>
        <v/>
      </c>
    </row>
    <row r="10">
      <c r="A10" s="3">
        <f>'Ответы теста'!A10</f>
        <v/>
      </c>
      <c r="B10" s="3">
        <f>'Ответы теста'!B10</f>
        <v/>
      </c>
      <c r="C10" s="3">
        <f>IF('Ответы теста'!E10="Энергия и работа", 1, 0)</f>
        <v/>
      </c>
      <c r="D10" s="3">
        <f>IF('Ответы теста'!F10="Равнодействующая сил равна нулю", 1, 0)</f>
        <v/>
      </c>
      <c r="E10" s="3">
        <f>IF('Ответы теста'!G10="I = U / R", 1, 0)</f>
        <v/>
      </c>
      <c r="F10" s="3">
        <f>IF('Ответы теста'!H10="Изохорный", 1, 0)</f>
        <v/>
      </c>
      <c r="G10" s="3">
        <f>IF('Ответы теста'!I10="Полное внутреннее отражение", 1, 0)</f>
        <v/>
      </c>
      <c r="H10" s="3">
        <f>IF(LOWER(TRIM('Ответы теста'!J10))="импульс", 1, 0)</f>
        <v/>
      </c>
      <c r="I10" s="3">
        <f>IF('Ответы теста'!K10="Весу вытесненной жидкости", 1, 0)</f>
        <v/>
      </c>
      <c r="J10" s="3">
        <f>IF('Ответы теста'!L10="Нейтральный (ноль)", 1, 0)</f>
        <v/>
      </c>
      <c r="K10" s="3">
        <f>IF(LOWER(TRIM('Ответы теста'!M10))="фарадей", 1, 0)</f>
        <v/>
      </c>
      <c r="L10" s="3">
        <f>IF('Ответы теста'!N10="300 000 км/с", 1, 0)</f>
        <v/>
      </c>
      <c r="M10" s="3">
        <f>SUM(C10:L10)</f>
        <v/>
      </c>
      <c r="N10" s="3">
        <f>IF(M10&gt;=10, "Отлично", IF(M10&gt;=8, "Хорошо", IF(M10&gt;=6, "Удовлетворительно", "Неудовлетворительно")))</f>
        <v/>
      </c>
    </row>
    <row r="11">
      <c r="A11" s="3">
        <f>'Ответы теста'!A11</f>
        <v/>
      </c>
      <c r="B11" s="3">
        <f>'Ответы теста'!B11</f>
        <v/>
      </c>
      <c r="C11" s="3">
        <f>IF('Ответы теста'!E11="Энергия и работа", 1, 0)</f>
        <v/>
      </c>
      <c r="D11" s="3">
        <f>IF('Ответы теста'!F11="Равнодействующая сил равна нулю", 1, 0)</f>
        <v/>
      </c>
      <c r="E11" s="3">
        <f>IF('Ответы теста'!G11="I = U / R", 1, 0)</f>
        <v/>
      </c>
      <c r="F11" s="3">
        <f>IF('Ответы теста'!H11="Изохорный", 1, 0)</f>
        <v/>
      </c>
      <c r="G11" s="3">
        <f>IF('Ответы теста'!I11="Полное внутреннее отражение", 1, 0)</f>
        <v/>
      </c>
      <c r="H11" s="3">
        <f>IF(LOWER(TRIM('Ответы теста'!J11))="импульс", 1, 0)</f>
        <v/>
      </c>
      <c r="I11" s="3">
        <f>IF('Ответы теста'!K11="Весу вытесненной жидкости", 1, 0)</f>
        <v/>
      </c>
      <c r="J11" s="3">
        <f>IF('Ответы теста'!L11="Нейтральный (ноль)", 1, 0)</f>
        <v/>
      </c>
      <c r="K11" s="3">
        <f>IF(LOWER(TRIM('Ответы теста'!M11))="фарадей", 1, 0)</f>
        <v/>
      </c>
      <c r="L11" s="3">
        <f>IF('Ответы теста'!N11="300 000 км/с", 1, 0)</f>
        <v/>
      </c>
      <c r="M11" s="3">
        <f>SUM(C11:L11)</f>
        <v/>
      </c>
      <c r="N11" s="3">
        <f>IF(M11&gt;=10, "Отлично", IF(M11&gt;=8, "Хорошо", IF(M11&gt;=6, "Удовлетворительно", "Неудовлетворительно")))</f>
        <v/>
      </c>
    </row>
    <row r="12">
      <c r="A12" s="2" t="inlineStr"/>
      <c r="B12" s="2" t="inlineStr">
        <is>
          <t>СРЕДНИЙ БАЛЛ ПО ГРУППЕ: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3">
        <f>AVERAGE(M2:M11)</f>
        <v/>
      </c>
      <c r="N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2026-10-22T09:10:44Z</dcterms:created>
  <dcterms:modified xmlns:dcterms="http://purl.org/dc/terms/" xmlns:xsi="http://www.w3.org/2001/XMLSchema-instance" xsi:type="dcterms:W3CDTF">2026-10-22T09:10:44Z</dcterms:modified>
</cp:coreProperties>
</file>