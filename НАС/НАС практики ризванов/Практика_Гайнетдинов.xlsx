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вая таблица" sheetId="1" state="visible" r:id="rId1"/>
    <sheet xmlns:r="http://schemas.openxmlformats.org/officeDocument/2006/relationships" name="Решения (№6-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##"/>
    <numFmt numFmtId="165" formatCode="0.00000"/>
    <numFmt numFmtId="166" formatCode="0.0000"/>
    <numFmt numFmtId="167" formatCode="0.000000"/>
    <numFmt numFmtId="168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2F4F4"/>
      <sz val="10"/>
    </font>
    <font>
      <name val="Arial"/>
      <b val="1"/>
      <color rgb="00FFFFFF"/>
      <sz val="10"/>
    </font>
    <font>
      <name val="Arial"/>
      <i val="1"/>
      <color rgb="005D6D7E"/>
      <sz val="9"/>
    </font>
    <font>
      <name val="Arial"/>
      <b val="1"/>
      <color rgb="002C3E50"/>
      <sz val="9"/>
    </font>
    <font>
      <name val="Arial"/>
      <b val="1"/>
      <color rgb="00FFFFFF"/>
      <sz val="9"/>
    </font>
    <font>
      <name val="Arial"/>
      <color rgb="002C3E50"/>
      <sz val="9"/>
    </font>
    <font>
      <name val="Arial"/>
      <i val="1"/>
      <color rgb="002980B9"/>
      <sz val="9"/>
    </font>
    <font>
      <name val="Arial"/>
      <b val="1"/>
      <color rgb="001B4F72"/>
      <sz val="10"/>
    </font>
    <font>
      <name val="Arial"/>
      <b val="1"/>
      <color rgb="002C3E50"/>
      <sz val="11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4F6F7"/>
        <bgColor rgb="00F4F6F7"/>
      </patternFill>
    </fill>
    <fill>
      <patternFill patternType="solid">
        <fgColor rgb="004A6572"/>
        <bgColor rgb="004A6572"/>
      </patternFill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F8F9F9"/>
        <bgColor rgb="00F8F9F9"/>
      </patternFill>
    </fill>
  </fills>
  <borders count="4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2980B9"/>
      </left>
      <right style="thin">
        <color rgb="002980B9"/>
      </right>
      <top style="thin">
        <color rgb="002980B9"/>
      </top>
      <bottom style="thin">
        <color rgb="002980B9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double">
        <color rgb="002C3E5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5" fontId="9" fillId="6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6" fontId="9" fillId="6" borderId="2" applyAlignment="1" pivotButton="0" quotePrefix="0" xfId="0">
      <alignment horizontal="right" vertical="center"/>
    </xf>
    <xf numFmtId="167" fontId="9" fillId="6" borderId="2" applyAlignment="1" pivotButton="0" quotePrefix="0" xfId="0">
      <alignment horizontal="right" vertical="center"/>
    </xf>
    <xf numFmtId="2" fontId="9" fillId="6" borderId="2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0" borderId="0" pivotButton="0" quotePrefix="0" xfId="0"/>
    <xf numFmtId="0" fontId="7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1" fontId="9" fillId="6" borderId="2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5" fillId="4" borderId="3" applyAlignment="1" pivotButton="0" quotePrefix="0" xfId="0">
      <alignment horizontal="right" vertical="center"/>
    </xf>
    <xf numFmtId="0" fontId="0" fillId="4" borderId="3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14" customWidth="1" min="4" max="4"/>
    <col width="22" customWidth="1" min="5" max="5"/>
    <col width="16" customWidth="1" min="6" max="6"/>
    <col width="12" customWidth="1" min="7" max="7"/>
  </cols>
  <sheetData>
    <row r="2" ht="24" customHeight="1">
      <c r="B2" s="1" t="inlineStr">
        <is>
          <t>СВОДНЫЕ РЕЗУЛЬТАТЫ ПРАКТИЧЕСКОЙ РАБОТЫ № 1</t>
        </is>
      </c>
      <c r="C2" s="2" t="n"/>
      <c r="D2" s="2" t="n"/>
      <c r="E2" s="2" t="n"/>
      <c r="F2" s="2" t="n"/>
      <c r="G2" s="2" t="n"/>
    </row>
    <row r="3" ht="18" customHeight="1">
      <c r="B3" s="3" t="inlineStr">
        <is>
          <t>Студент: Гайнетдинов  |  Вариант / Задания № 6 – 15</t>
        </is>
      </c>
      <c r="C3" s="4" t="n"/>
      <c r="D3" s="4" t="n"/>
      <c r="E3" s="4" t="n"/>
      <c r="F3" s="4" t="n"/>
      <c r="G3" s="4" t="n"/>
    </row>
    <row r="5" ht="20" customHeight="1">
      <c r="B5" s="5" t="inlineStr">
        <is>
          <t>Таблица полученных значений показателей надежности:</t>
        </is>
      </c>
    </row>
    <row r="6" ht="20" customHeight="1">
      <c r="B6" s="6" t="inlineStr">
        <is>
          <t>№ задания</t>
        </is>
      </c>
      <c r="C6" s="6" t="inlineStr">
        <is>
          <t>Краткое условие</t>
        </is>
      </c>
      <c r="D6" s="6" t="inlineStr">
        <is>
          <t>Показатель</t>
        </is>
      </c>
      <c r="E6" s="6" t="inlineStr">
        <is>
          <t>Формула</t>
        </is>
      </c>
      <c r="F6" s="6" t="inlineStr">
        <is>
          <t>Значение</t>
        </is>
      </c>
      <c r="G6" s="6" t="inlineStr">
        <is>
          <t>Размерность</t>
        </is>
      </c>
    </row>
    <row r="7" ht="19" customHeight="1">
      <c r="B7" s="7" t="inlineStr">
        <is>
          <t>Задание 6</t>
        </is>
      </c>
      <c r="C7" s="8" t="inlineStr">
        <is>
          <t>100 изделий, за 4000 ч отк. 50, за 4000-4100 отк. 20</t>
        </is>
      </c>
      <c r="D7" s="7" t="inlineStr">
        <is>
          <t>f(4000)</t>
        </is>
      </c>
      <c r="E7" s="9" t="inlineStr">
        <is>
          <t>f = Δn/(N·Δt)</t>
        </is>
      </c>
      <c r="F7" s="10">
        <f>'Решения (№6-15)'!F19</f>
        <v/>
      </c>
      <c r="G7" s="11" t="inlineStr">
        <is>
          <t>1/ч</t>
        </is>
      </c>
    </row>
    <row r="8" ht="19" customHeight="1">
      <c r="B8" s="12" t="inlineStr">
        <is>
          <t>Задание 6</t>
        </is>
      </c>
      <c r="C8" s="13" t="inlineStr">
        <is>
          <t>100 изделий, за 4000 ч отк. 50, за 4000-4100 отк. 20</t>
        </is>
      </c>
      <c r="D8" s="12" t="inlineStr">
        <is>
          <t>λ(4000)</t>
        </is>
      </c>
      <c r="E8" s="14" t="inlineStr">
        <is>
          <t>λ = Δn/(n(t)·Δt)</t>
        </is>
      </c>
      <c r="F8" s="10">
        <f>'Решения (№6-15)'!F20</f>
        <v/>
      </c>
      <c r="G8" s="15" t="inlineStr">
        <is>
          <t>1/ч</t>
        </is>
      </c>
    </row>
    <row r="9" ht="19" customHeight="1">
      <c r="B9" s="7" t="inlineStr">
        <is>
          <t>Задание 7</t>
        </is>
      </c>
      <c r="C9" s="8" t="inlineStr">
        <is>
          <t>100 изделий, за 4000 ч отк. 50 шт.</t>
        </is>
      </c>
      <c r="D9" s="7" t="inlineStr">
        <is>
          <t>p(4000)</t>
        </is>
      </c>
      <c r="E9" s="9" t="inlineStr">
        <is>
          <t>p = n(t)/N</t>
        </is>
      </c>
      <c r="F9" s="16">
        <f>'Решения (№6-15)'!F35</f>
        <v/>
      </c>
      <c r="G9" s="11" t="inlineStr">
        <is>
          <t>—</t>
        </is>
      </c>
    </row>
    <row r="10" ht="19" customHeight="1">
      <c r="B10" s="12" t="inlineStr">
        <is>
          <t>Задание 7</t>
        </is>
      </c>
      <c r="C10" s="13" t="inlineStr">
        <is>
          <t>100 изделий, за 4000 ч отк. 50 шт.</t>
        </is>
      </c>
      <c r="D10" s="12" t="inlineStr">
        <is>
          <t>q(4000)</t>
        </is>
      </c>
      <c r="E10" s="14" t="inlineStr">
        <is>
          <t>q = 1 - p</t>
        </is>
      </c>
      <c r="F10" s="16">
        <f>'Решения (№6-15)'!F36</f>
        <v/>
      </c>
      <c r="G10" s="15" t="inlineStr">
        <is>
          <t>—</t>
        </is>
      </c>
    </row>
    <row r="11" ht="19" customHeight="1">
      <c r="B11" s="7" t="inlineStr">
        <is>
          <t>Задание 8</t>
        </is>
      </c>
      <c r="C11" s="8" t="inlineStr">
        <is>
          <t>10 гироскопов, за 1000 ч отк. 2, за 1000-1100 отк. 1</t>
        </is>
      </c>
      <c r="D11" s="7" t="inlineStr">
        <is>
          <t>f(1000)</t>
        </is>
      </c>
      <c r="E11" s="9" t="inlineStr">
        <is>
          <t>f = Δn/(N·Δt)</t>
        </is>
      </c>
      <c r="F11" s="10">
        <f>'Решения (№6-15)'!F53</f>
        <v/>
      </c>
      <c r="G11" s="11" t="inlineStr">
        <is>
          <t>1/ч</t>
        </is>
      </c>
    </row>
    <row r="12" ht="19" customHeight="1">
      <c r="B12" s="12" t="inlineStr">
        <is>
          <t>Задание 8</t>
        </is>
      </c>
      <c r="C12" s="13" t="inlineStr">
        <is>
          <t>10 гироскопов, за 1000 ч отк. 2, за 1000-1100 отк. 1</t>
        </is>
      </c>
      <c r="D12" s="12" t="inlineStr">
        <is>
          <t>λ(1000)</t>
        </is>
      </c>
      <c r="E12" s="14" t="inlineStr">
        <is>
          <t>λ = Δn/(n(t)·Δt)</t>
        </is>
      </c>
      <c r="F12" s="10">
        <f>'Решения (№6-15)'!F54</f>
        <v/>
      </c>
      <c r="G12" s="15" t="inlineStr">
        <is>
          <t>1/ч</t>
        </is>
      </c>
    </row>
    <row r="13" ht="19" customHeight="1">
      <c r="B13" s="7" t="inlineStr">
        <is>
          <t>Задание 9</t>
        </is>
      </c>
      <c r="C13" s="8" t="inlineStr">
        <is>
          <t>1000 ламп, за 3000 ч отк. 80, за 3000-4000 отк. 50</t>
        </is>
      </c>
      <c r="D13" s="7" t="inlineStr">
        <is>
          <t>p(4000)</t>
        </is>
      </c>
      <c r="E13" s="9" t="inlineStr">
        <is>
          <t>p = n(4000)/N</t>
        </is>
      </c>
      <c r="F13" s="16">
        <f>'Решения (№6-15)'!F70</f>
        <v/>
      </c>
      <c r="G13" s="11" t="inlineStr">
        <is>
          <t>—</t>
        </is>
      </c>
    </row>
    <row r="14" ht="19" customHeight="1">
      <c r="B14" s="12" t="inlineStr">
        <is>
          <t>Задание 9</t>
        </is>
      </c>
      <c r="C14" s="13" t="inlineStr">
        <is>
          <t>1000 ламп, за 3000 ч отк. 80, за 3000-4000 отк. 50</t>
        </is>
      </c>
      <c r="D14" s="12" t="inlineStr">
        <is>
          <t>q(4000)</t>
        </is>
      </c>
      <c r="E14" s="14" t="inlineStr">
        <is>
          <t>q = 1 - p</t>
        </is>
      </c>
      <c r="F14" s="16">
        <f>'Решения (№6-15)'!F71</f>
        <v/>
      </c>
      <c r="G14" s="15" t="inlineStr">
        <is>
          <t>—</t>
        </is>
      </c>
    </row>
    <row r="15" ht="19" customHeight="1">
      <c r="B15" s="7" t="inlineStr">
        <is>
          <t>Задание 10</t>
        </is>
      </c>
      <c r="C15" s="8" t="inlineStr">
        <is>
          <t>1000 изделий, t=1300 ч (отк. 288), dt=100 ч (отк. 13)</t>
        </is>
      </c>
      <c r="D15" s="7" t="inlineStr">
        <is>
          <t>p(1300)</t>
        </is>
      </c>
      <c r="E15" s="9" t="inlineStr">
        <is>
          <t>p = n(1300)/N</t>
        </is>
      </c>
      <c r="F15" s="16">
        <f>'Решения (№6-15)'!F89</f>
        <v/>
      </c>
      <c r="G15" s="11" t="inlineStr">
        <is>
          <t>—</t>
        </is>
      </c>
    </row>
    <row r="16" ht="19" customHeight="1">
      <c r="B16" s="12" t="inlineStr">
        <is>
          <t>Задание 10</t>
        </is>
      </c>
      <c r="C16" s="13" t="inlineStr">
        <is>
          <t>1000 изделий, t=1400 ч</t>
        </is>
      </c>
      <c r="D16" s="12" t="inlineStr">
        <is>
          <t>p(1400)</t>
        </is>
      </c>
      <c r="E16" s="14" t="inlineStr">
        <is>
          <t>p = n(1400)/N</t>
        </is>
      </c>
      <c r="F16" s="16">
        <f>'Решения (№6-15)'!F90</f>
        <v/>
      </c>
      <c r="G16" s="15" t="inlineStr">
        <is>
          <t>—</t>
        </is>
      </c>
    </row>
    <row r="17" ht="19" customHeight="1">
      <c r="B17" s="7" t="inlineStr">
        <is>
          <t>Задание 10</t>
        </is>
      </c>
      <c r="C17" s="8" t="inlineStr">
        <is>
          <t>1000 изделий, dt=100 ч</t>
        </is>
      </c>
      <c r="D17" s="7" t="inlineStr">
        <is>
          <t>f(1300)</t>
        </is>
      </c>
      <c r="E17" s="9" t="inlineStr">
        <is>
          <t>f = Δn/(N·dt)</t>
        </is>
      </c>
      <c r="F17" s="17">
        <f>'Решения (№6-15)'!F91</f>
        <v/>
      </c>
      <c r="G17" s="11" t="inlineStr">
        <is>
          <t>1/ч</t>
        </is>
      </c>
    </row>
    <row r="18" ht="19" customHeight="1">
      <c r="B18" s="12" t="inlineStr">
        <is>
          <t>Задание 10</t>
        </is>
      </c>
      <c r="C18" s="13" t="inlineStr">
        <is>
          <t>1000 изделий, dt=100 ч</t>
        </is>
      </c>
      <c r="D18" s="12" t="inlineStr">
        <is>
          <t>λ(1300)</t>
        </is>
      </c>
      <c r="E18" s="14" t="inlineStr">
        <is>
          <t>λ = Δn/(n·dt)</t>
        </is>
      </c>
      <c r="F18" s="17">
        <f>'Решения (№6-15)'!F92</f>
        <v/>
      </c>
      <c r="G18" s="15" t="inlineStr">
        <is>
          <t>1/ч</t>
        </is>
      </c>
    </row>
    <row r="19" ht="19" customHeight="1">
      <c r="B19" s="7" t="inlineStr">
        <is>
          <t>Задание 11</t>
        </is>
      </c>
      <c r="C19" s="8" t="inlineStr">
        <is>
          <t>45 изделий, t=60 ч (отк. 35), dt=5 ч (отк. 3)</t>
        </is>
      </c>
      <c r="D19" s="7" t="inlineStr">
        <is>
          <t>p(60)</t>
        </is>
      </c>
      <c r="E19" s="9" t="inlineStr">
        <is>
          <t>p = n(60)/N</t>
        </is>
      </c>
      <c r="F19" s="16">
        <f>'Решения (№6-15)'!F110</f>
        <v/>
      </c>
      <c r="G19" s="11" t="inlineStr">
        <is>
          <t>—</t>
        </is>
      </c>
    </row>
    <row r="20" ht="19" customHeight="1">
      <c r="B20" s="12" t="inlineStr">
        <is>
          <t>Задание 11</t>
        </is>
      </c>
      <c r="C20" s="13" t="inlineStr">
        <is>
          <t>45 изделий, t=65 ч</t>
        </is>
      </c>
      <c r="D20" s="12" t="inlineStr">
        <is>
          <t>p(65)</t>
        </is>
      </c>
      <c r="E20" s="14" t="inlineStr">
        <is>
          <t>p = n(65)/N</t>
        </is>
      </c>
      <c r="F20" s="16">
        <f>'Решения (№6-15)'!F111</f>
        <v/>
      </c>
      <c r="G20" s="15" t="inlineStr">
        <is>
          <t>—</t>
        </is>
      </c>
    </row>
    <row r="21" ht="19" customHeight="1">
      <c r="B21" s="7" t="inlineStr">
        <is>
          <t>Задание 11</t>
        </is>
      </c>
      <c r="C21" s="8" t="inlineStr">
        <is>
          <t>45 изделий, dt=5 ч</t>
        </is>
      </c>
      <c r="D21" s="7" t="inlineStr">
        <is>
          <t>f(60)</t>
        </is>
      </c>
      <c r="E21" s="9" t="inlineStr">
        <is>
          <t>f = Δn/(N·dt)</t>
        </is>
      </c>
      <c r="F21" s="17">
        <f>'Решения (№6-15)'!F112</f>
        <v/>
      </c>
      <c r="G21" s="11" t="inlineStr">
        <is>
          <t>1/ч</t>
        </is>
      </c>
    </row>
    <row r="22" ht="19" customHeight="1">
      <c r="B22" s="12" t="inlineStr">
        <is>
          <t>Задание 11</t>
        </is>
      </c>
      <c r="C22" s="13" t="inlineStr">
        <is>
          <t>45 изделий, dt=5 ч</t>
        </is>
      </c>
      <c r="D22" s="12" t="inlineStr">
        <is>
          <t>λ(60)</t>
        </is>
      </c>
      <c r="E22" s="14" t="inlineStr">
        <is>
          <t>λ = Δn/(n·dt)</t>
        </is>
      </c>
      <c r="F22" s="17">
        <f>'Решения (№6-15)'!F113</f>
        <v/>
      </c>
      <c r="G22" s="15" t="inlineStr">
        <is>
          <t>1/ч</t>
        </is>
      </c>
    </row>
    <row r="23" ht="19" customHeight="1">
      <c r="B23" s="7" t="inlineStr">
        <is>
          <t>Задание 12</t>
        </is>
      </c>
      <c r="C23" s="8" t="inlineStr">
        <is>
          <t>45 образцов РЭО (интервалы 0-70 ч)</t>
        </is>
      </c>
      <c r="D23" s="7" t="inlineStr">
        <is>
          <t>mt*</t>
        </is>
      </c>
      <c r="E23" s="9" t="inlineStr">
        <is>
          <t>mt* = Σ(ni·tср)/N</t>
        </is>
      </c>
      <c r="F23" s="18">
        <f>'Решения (№6-15)'!F130</f>
        <v/>
      </c>
      <c r="G23" s="11" t="inlineStr">
        <is>
          <t>ч</t>
        </is>
      </c>
    </row>
    <row r="24" ht="19" customHeight="1">
      <c r="B24" s="12" t="inlineStr">
        <is>
          <t>Задание 13</t>
        </is>
      </c>
      <c r="C24" s="13" t="inlineStr">
        <is>
          <t>8 изделий (наработки 560..920 ч)</t>
        </is>
      </c>
      <c r="D24" s="12" t="inlineStr">
        <is>
          <t>mt*</t>
        </is>
      </c>
      <c r="E24" s="14" t="inlineStr">
        <is>
          <t>mt* = Σti/N</t>
        </is>
      </c>
      <c r="F24" s="18">
        <f>'Решения (№6-15)'!F148</f>
        <v/>
      </c>
      <c r="G24" s="15" t="inlineStr">
        <is>
          <t>ч</t>
        </is>
      </c>
    </row>
    <row r="25" ht="19" customHeight="1">
      <c r="B25" s="7" t="inlineStr">
        <is>
          <t>Задание 14</t>
        </is>
      </c>
      <c r="C25" s="8" t="inlineStr">
        <is>
          <t>6 отказов (восстановление 10..30 мин)</t>
        </is>
      </c>
      <c r="D25" s="7" t="inlineStr">
        <is>
          <t>mt</t>
        </is>
      </c>
      <c r="E25" s="9" t="inlineStr">
        <is>
          <t>mt = Σtв/N</t>
        </is>
      </c>
      <c r="F25" s="18">
        <f>'Решения (№6-15)'!F165</f>
        <v/>
      </c>
      <c r="G25" s="11" t="inlineStr">
        <is>
          <t>мин</t>
        </is>
      </c>
    </row>
    <row r="26" ht="19" customHeight="1">
      <c r="B26" s="12" t="inlineStr">
        <is>
          <t>Задание 15</t>
        </is>
      </c>
      <c r="C26" s="13" t="inlineStr">
        <is>
          <t>1000 изделий, t=11000 ч (отк. 410), dt=1000 ч (отк. 40)</t>
        </is>
      </c>
      <c r="D26" s="12" t="inlineStr">
        <is>
          <t>p(11000)</t>
        </is>
      </c>
      <c r="E26" s="14" t="inlineStr">
        <is>
          <t>p = n(11000)/N</t>
        </is>
      </c>
      <c r="F26" s="16">
        <f>'Решения (№6-15)'!F183</f>
        <v/>
      </c>
      <c r="G26" s="15" t="inlineStr">
        <is>
          <t>—</t>
        </is>
      </c>
    </row>
    <row r="27" ht="19" customHeight="1">
      <c r="B27" s="7" t="inlineStr">
        <is>
          <t>Задание 15</t>
        </is>
      </c>
      <c r="C27" s="8" t="inlineStr">
        <is>
          <t>1000 изделий, t=12000 ч</t>
        </is>
      </c>
      <c r="D27" s="7" t="inlineStr">
        <is>
          <t>p(12000)</t>
        </is>
      </c>
      <c r="E27" s="9" t="inlineStr">
        <is>
          <t>p = n(12000)/N</t>
        </is>
      </c>
      <c r="F27" s="16">
        <f>'Решения (№6-15)'!F184</f>
        <v/>
      </c>
      <c r="G27" s="11" t="inlineStr">
        <is>
          <t>—</t>
        </is>
      </c>
    </row>
    <row r="28" ht="19" customHeight="1">
      <c r="B28" s="12" t="inlineStr">
        <is>
          <t>Задание 15</t>
        </is>
      </c>
      <c r="C28" s="13" t="inlineStr">
        <is>
          <t>1000 изделий, dt=1000 ч</t>
        </is>
      </c>
      <c r="D28" s="12" t="inlineStr">
        <is>
          <t>f(11000)</t>
        </is>
      </c>
      <c r="E28" s="14" t="inlineStr">
        <is>
          <t>f = Δn/(N·dt)</t>
        </is>
      </c>
      <c r="F28" s="17">
        <f>'Решения (№6-15)'!F185</f>
        <v/>
      </c>
      <c r="G28" s="15" t="inlineStr">
        <is>
          <t>1/ч</t>
        </is>
      </c>
    </row>
    <row r="29" ht="19" customHeight="1">
      <c r="B29" s="7" t="inlineStr">
        <is>
          <t>Задание 15</t>
        </is>
      </c>
      <c r="C29" s="8" t="inlineStr">
        <is>
          <t>1000 изделий, dt=1000 ч</t>
        </is>
      </c>
      <c r="D29" s="7" t="inlineStr">
        <is>
          <t>λ(11000)</t>
        </is>
      </c>
      <c r="E29" s="9" t="inlineStr">
        <is>
          <t>λ = Δn/(n·dt)</t>
        </is>
      </c>
      <c r="F29" s="17">
        <f>'Решения (№6-15)'!F186</f>
        <v/>
      </c>
      <c r="G29" s="11" t="inlineStr">
        <is>
          <t>1/ч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8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4" customWidth="1" min="4" max="4"/>
    <col width="24" customWidth="1" min="5" max="5"/>
    <col width="16" customWidth="1" min="6" max="6"/>
    <col width="10" customWidth="1" min="7" max="7"/>
  </cols>
  <sheetData>
    <row r="2" ht="24" customHeight="1">
      <c r="B2" s="1" t="inlineStr">
        <is>
          <t>РАСЧЕТНАЯ ЧАСТЬ ПРАКТИЧЕСКОЙ РАБОТЫ № 1 (ЗАДАНИЯ 6 – 15)</t>
        </is>
      </c>
      <c r="C2" s="2" t="n"/>
      <c r="D2" s="2" t="n"/>
      <c r="E2" s="2" t="n"/>
      <c r="F2" s="2" t="n"/>
      <c r="G2" s="2" t="n"/>
    </row>
    <row r="3" ht="18" customHeight="1">
      <c r="B3" s="3" t="inlineStr">
        <is>
          <t>Оценка надежности изделий по статистике отказов  |  Студент: Гайнетдинов</t>
        </is>
      </c>
      <c r="C3" s="4" t="n"/>
      <c r="D3" s="4" t="n"/>
      <c r="E3" s="4" t="n"/>
      <c r="F3" s="4" t="n"/>
      <c r="G3" s="4" t="n"/>
    </row>
    <row r="5" ht="20" customHeight="1">
      <c r="B5" s="19" t="inlineStr">
        <is>
          <t>Задание №6. Интенсивность и частота отказов</t>
        </is>
      </c>
      <c r="C5" s="20" t="n"/>
      <c r="D5" s="20" t="n"/>
      <c r="E5" s="20" t="n"/>
      <c r="F5" s="20" t="n"/>
      <c r="G5" s="20" t="n"/>
    </row>
    <row r="6" ht="16" customHeight="1">
      <c r="B6" s="21" t="inlineStr">
        <is>
          <t>Текст задания: На испытании N=100 изделий. К t=4000 ч отказало 50 шт. На участке 4000-4100 ч отказало 20 шт. Найти f(4000) и λ(4000).</t>
        </is>
      </c>
      <c r="C6" s="22" t="n"/>
      <c r="D6" s="22" t="n"/>
      <c r="E6" s="22" t="n"/>
      <c r="F6" s="22" t="n"/>
      <c r="G6" s="22" t="n"/>
    </row>
    <row r="7" ht="16" customHeight="1">
      <c r="B7" s="22" t="n"/>
      <c r="C7" s="22" t="n"/>
      <c r="D7" s="22" t="n"/>
      <c r="E7" s="22" t="n"/>
      <c r="F7" s="22" t="n"/>
      <c r="G7" s="22" t="n"/>
    </row>
    <row r="8">
      <c r="B8" s="23" t="inlineStr">
        <is>
          <t>1. Исходные параметры</t>
        </is>
      </c>
    </row>
    <row r="9" ht="18" customHeight="1">
      <c r="B9" s="6" t="inlineStr">
        <is>
          <t>Наименование</t>
        </is>
      </c>
      <c r="C9" s="6" t="inlineStr">
        <is>
          <t>Символ</t>
        </is>
      </c>
      <c r="D9" s="6" t="inlineStr">
        <is>
          <t>Значение</t>
        </is>
      </c>
      <c r="E9" s="6" t="inlineStr">
        <is>
          <t>Размерность</t>
        </is>
      </c>
    </row>
    <row r="10" ht="18" customHeight="1">
      <c r="B10" s="24" t="inlineStr">
        <is>
          <t>Количество изделий</t>
        </is>
      </c>
      <c r="C10" s="7" t="inlineStr">
        <is>
          <t>N</t>
        </is>
      </c>
      <c r="D10" s="25" t="n">
        <v>100</v>
      </c>
      <c r="E10" s="11" t="inlineStr">
        <is>
          <t>шт.</t>
        </is>
      </c>
    </row>
    <row r="11" ht="18" customHeight="1">
      <c r="B11" s="24" t="inlineStr">
        <is>
          <t>Время t</t>
        </is>
      </c>
      <c r="C11" s="7" t="inlineStr">
        <is>
          <t>t</t>
        </is>
      </c>
      <c r="D11" s="25" t="n">
        <v>4000</v>
      </c>
      <c r="E11" s="11" t="inlineStr">
        <is>
          <t>ч</t>
        </is>
      </c>
    </row>
    <row r="12" ht="18" customHeight="1">
      <c r="B12" s="24" t="inlineStr">
        <is>
          <t>Число отказов к моменту t</t>
        </is>
      </c>
      <c r="C12" s="7" t="inlineStr">
        <is>
          <t>notk</t>
        </is>
      </c>
      <c r="D12" s="25" t="n">
        <v>50</v>
      </c>
      <c r="E12" s="11" t="inlineStr">
        <is>
          <t>шт.</t>
        </is>
      </c>
    </row>
    <row r="13" ht="18" customHeight="1">
      <c r="B13" s="24" t="inlineStr">
        <is>
          <t>Период времени</t>
        </is>
      </c>
      <c r="C13" s="7" t="inlineStr">
        <is>
          <t>dt</t>
        </is>
      </c>
      <c r="D13" s="25" t="n">
        <v>100</v>
      </c>
      <c r="E13" s="11" t="inlineStr">
        <is>
          <t>ч</t>
        </is>
      </c>
    </row>
    <row r="14" ht="18" customHeight="1">
      <c r="B14" s="24" t="inlineStr">
        <is>
          <t>Отказов за период</t>
        </is>
      </c>
      <c r="C14" s="7" t="inlineStr">
        <is>
          <t>dn</t>
        </is>
      </c>
      <c r="D14" s="25" t="n">
        <v>20</v>
      </c>
      <c r="E14" s="11" t="inlineStr">
        <is>
          <t>шт.</t>
        </is>
      </c>
    </row>
    <row r="16">
      <c r="B16" s="23" t="inlineStr">
        <is>
          <t>2. Расчетные формулы и вычисления</t>
        </is>
      </c>
    </row>
    <row r="17" ht="18" customHeight="1">
      <c r="B17" s="6" t="inlineStr">
        <is>
          <t>Искомый показатель</t>
        </is>
      </c>
      <c r="C17" s="6" t="inlineStr">
        <is>
          <t>Обозначение</t>
        </is>
      </c>
      <c r="D17" s="6" t="inlineStr">
        <is>
          <t>Матем. формула</t>
        </is>
      </c>
      <c r="E17" s="6" t="inlineStr">
        <is>
          <t>Формула в Excel</t>
        </is>
      </c>
      <c r="F17" s="6" t="inlineStr">
        <is>
          <t>Результат</t>
        </is>
      </c>
      <c r="G17" s="6" t="inlineStr">
        <is>
          <t>Ед.</t>
        </is>
      </c>
    </row>
    <row r="18" ht="19" customHeight="1">
      <c r="B18" s="24" t="inlineStr">
        <is>
          <t>Число исправных к t</t>
        </is>
      </c>
      <c r="C18" s="7" t="inlineStr">
        <is>
          <t>n(t)</t>
        </is>
      </c>
      <c r="D18" s="26" t="inlineStr">
        <is>
          <t>N - notk</t>
        </is>
      </c>
      <c r="E18" s="27">
        <f>D10-D12</f>
        <v/>
      </c>
      <c r="F18" s="28">
        <f>D10-D12</f>
        <v/>
      </c>
      <c r="G18" s="11" t="inlineStr">
        <is>
          <t>шт.</t>
        </is>
      </c>
    </row>
    <row r="19" ht="19" customHeight="1">
      <c r="B19" s="24" t="inlineStr">
        <is>
          <t>Частота отказов</t>
        </is>
      </c>
      <c r="C19" s="7" t="inlineStr">
        <is>
          <t>f(4000)</t>
        </is>
      </c>
      <c r="D19" s="26" t="inlineStr">
        <is>
          <t>dn / (N · dt)</t>
        </is>
      </c>
      <c r="E19" s="27">
        <f>D14/(D10*D13)</f>
        <v/>
      </c>
      <c r="F19" s="10">
        <f>D14/(D10*D13)</f>
        <v/>
      </c>
      <c r="G19" s="11" t="inlineStr">
        <is>
          <t>1/ч</t>
        </is>
      </c>
    </row>
    <row r="20" ht="19" customHeight="1">
      <c r="B20" s="24" t="inlineStr">
        <is>
          <t>Интенсивность отказов</t>
        </is>
      </c>
      <c r="C20" s="7" t="inlineStr">
        <is>
          <t>λ(4000)</t>
        </is>
      </c>
      <c r="D20" s="26" t="inlineStr">
        <is>
          <t>dn / (n(t) · dt)</t>
        </is>
      </c>
      <c r="E20" s="27">
        <f>D14/(F18*D13)</f>
        <v/>
      </c>
      <c r="F20" s="10">
        <f>D14/(F18*D13)</f>
        <v/>
      </c>
      <c r="G20" s="11" t="inlineStr">
        <is>
          <t>1/ч</t>
        </is>
      </c>
    </row>
    <row r="21" ht="20" customHeight="1">
      <c r="B21" s="29" t="inlineStr">
        <is>
          <t>Итог: f(4000) = 0,002 1/ч, λ(4000) = 0,004 1/ч.</t>
        </is>
      </c>
      <c r="C21" s="30" t="n"/>
      <c r="D21" s="30" t="n"/>
      <c r="E21" s="30" t="n"/>
      <c r="F21" s="30" t="n"/>
      <c r="G21" s="30" t="n"/>
    </row>
    <row r="23" ht="20" customHeight="1">
      <c r="B23" s="19" t="inlineStr">
        <is>
          <t>Задание №7. Вероятность безотказной работы и вероятность отказа</t>
        </is>
      </c>
      <c r="C23" s="20" t="n"/>
      <c r="D23" s="20" t="n"/>
      <c r="E23" s="20" t="n"/>
      <c r="F23" s="20" t="n"/>
      <c r="G23" s="20" t="n"/>
    </row>
    <row r="24" ht="16" customHeight="1">
      <c r="B24" s="21" t="inlineStr">
        <is>
          <t>Текст задания: На испытании N=100 изделий. К наработке t=4000 ч отказало 50 шт. Найти p(4000) и q(4000).</t>
        </is>
      </c>
      <c r="C24" s="22" t="n"/>
      <c r="D24" s="22" t="n"/>
      <c r="E24" s="22" t="n"/>
      <c r="F24" s="22" t="n"/>
      <c r="G24" s="22" t="n"/>
    </row>
    <row r="25" ht="16" customHeight="1">
      <c r="B25" s="22" t="n"/>
      <c r="C25" s="22" t="n"/>
      <c r="D25" s="22" t="n"/>
      <c r="E25" s="22" t="n"/>
      <c r="F25" s="22" t="n"/>
      <c r="G25" s="22" t="n"/>
    </row>
    <row r="26">
      <c r="B26" s="23" t="inlineStr">
        <is>
          <t>1. Исходные параметры</t>
        </is>
      </c>
    </row>
    <row r="27" ht="18" customHeight="1">
      <c r="B27" s="6" t="inlineStr">
        <is>
          <t>Наименование</t>
        </is>
      </c>
      <c r="C27" s="6" t="inlineStr">
        <is>
          <t>Символ</t>
        </is>
      </c>
      <c r="D27" s="6" t="inlineStr">
        <is>
          <t>Значение</t>
        </is>
      </c>
      <c r="E27" s="6" t="inlineStr">
        <is>
          <t>Размерность</t>
        </is>
      </c>
    </row>
    <row r="28" ht="18" customHeight="1">
      <c r="B28" s="24" t="inlineStr">
        <is>
          <t>Количество изделий</t>
        </is>
      </c>
      <c r="C28" s="7" t="inlineStr">
        <is>
          <t>N</t>
        </is>
      </c>
      <c r="D28" s="25" t="n">
        <v>100</v>
      </c>
      <c r="E28" s="11" t="inlineStr">
        <is>
          <t>шт.</t>
        </is>
      </c>
    </row>
    <row r="29" ht="18" customHeight="1">
      <c r="B29" s="24" t="inlineStr">
        <is>
          <t>Наработка t</t>
        </is>
      </c>
      <c r="C29" s="7" t="inlineStr">
        <is>
          <t>t</t>
        </is>
      </c>
      <c r="D29" s="25" t="n">
        <v>4000</v>
      </c>
      <c r="E29" s="11" t="inlineStr">
        <is>
          <t>ч</t>
        </is>
      </c>
    </row>
    <row r="30" ht="18" customHeight="1">
      <c r="B30" s="24" t="inlineStr">
        <is>
          <t>Число отказов</t>
        </is>
      </c>
      <c r="C30" s="7" t="inlineStr">
        <is>
          <t>notk</t>
        </is>
      </c>
      <c r="D30" s="25" t="n">
        <v>50</v>
      </c>
      <c r="E30" s="11" t="inlineStr">
        <is>
          <t>шт.</t>
        </is>
      </c>
    </row>
    <row r="32">
      <c r="B32" s="23" t="inlineStr">
        <is>
          <t>2. Расчетные формулы и вычисления</t>
        </is>
      </c>
    </row>
    <row r="33" ht="18" customHeight="1">
      <c r="B33" s="6" t="inlineStr">
        <is>
          <t>Искомый показатель</t>
        </is>
      </c>
      <c r="C33" s="6" t="inlineStr">
        <is>
          <t>Обозначение</t>
        </is>
      </c>
      <c r="D33" s="6" t="inlineStr">
        <is>
          <t>Матем. формула</t>
        </is>
      </c>
      <c r="E33" s="6" t="inlineStr">
        <is>
          <t>Формула в Excel</t>
        </is>
      </c>
      <c r="F33" s="6" t="inlineStr">
        <is>
          <t>Результат</t>
        </is>
      </c>
      <c r="G33" s="6" t="inlineStr">
        <is>
          <t>Ед.</t>
        </is>
      </c>
    </row>
    <row r="34" ht="19" customHeight="1">
      <c r="B34" s="24" t="inlineStr">
        <is>
          <t>Исправных изделий</t>
        </is>
      </c>
      <c r="C34" s="7" t="inlineStr">
        <is>
          <t>n(t)</t>
        </is>
      </c>
      <c r="D34" s="26" t="inlineStr">
        <is>
          <t>N - notk</t>
        </is>
      </c>
      <c r="E34" s="27">
        <f>D28-D30</f>
        <v/>
      </c>
      <c r="F34" s="28">
        <f>D28-D30</f>
        <v/>
      </c>
      <c r="G34" s="11" t="inlineStr">
        <is>
          <t>шт.</t>
        </is>
      </c>
    </row>
    <row r="35" ht="19" customHeight="1">
      <c r="B35" s="24" t="inlineStr">
        <is>
          <t>Вероятность безотказной работы</t>
        </is>
      </c>
      <c r="C35" s="7" t="inlineStr">
        <is>
          <t>p(4000)</t>
        </is>
      </c>
      <c r="D35" s="26" t="inlineStr">
        <is>
          <t>n(t) / N</t>
        </is>
      </c>
      <c r="E35" s="27">
        <f>F34/D28</f>
        <v/>
      </c>
      <c r="F35" s="16">
        <f>F34/D28</f>
        <v/>
      </c>
      <c r="G35" s="11" t="inlineStr">
        <is>
          <t>—</t>
        </is>
      </c>
    </row>
    <row r="36" ht="19" customHeight="1">
      <c r="B36" s="24" t="inlineStr">
        <is>
          <t>Вероятность отказа</t>
        </is>
      </c>
      <c r="C36" s="7" t="inlineStr">
        <is>
          <t>q(4000)</t>
        </is>
      </c>
      <c r="D36" s="26" t="inlineStr">
        <is>
          <t>1 - p</t>
        </is>
      </c>
      <c r="E36" s="27">
        <f>1-F35</f>
        <v/>
      </c>
      <c r="F36" s="16">
        <f>1-F35</f>
        <v/>
      </c>
      <c r="G36" s="11" t="inlineStr">
        <is>
          <t>—</t>
        </is>
      </c>
    </row>
    <row r="37" ht="20" customHeight="1">
      <c r="B37" s="29" t="inlineStr">
        <is>
          <t>Итог: p(4000) = 0,5000; q(4000) = 0,5000.</t>
        </is>
      </c>
      <c r="C37" s="30" t="n"/>
      <c r="D37" s="30" t="n"/>
      <c r="E37" s="30" t="n"/>
      <c r="F37" s="30" t="n"/>
      <c r="G37" s="30" t="n"/>
    </row>
    <row r="39" ht="20" customHeight="1">
      <c r="B39" s="19" t="inlineStr">
        <is>
          <t>Задание №8. Показатели безотказности гироскопов</t>
        </is>
      </c>
      <c r="C39" s="20" t="n"/>
      <c r="D39" s="20" t="n"/>
      <c r="E39" s="20" t="n"/>
      <c r="F39" s="20" t="n"/>
      <c r="G39" s="20" t="n"/>
    </row>
    <row r="40" ht="16" customHeight="1">
      <c r="B40" s="21" t="inlineStr">
        <is>
          <t>Текст задания: За 1000 ч из N=10 гироскопов отказало 2. В интервале 1000-1100 ч отказал еще 1 гироскоп. Найти f(1000) и λ(1000).</t>
        </is>
      </c>
      <c r="C40" s="22" t="n"/>
      <c r="D40" s="22" t="n"/>
      <c r="E40" s="22" t="n"/>
      <c r="F40" s="22" t="n"/>
      <c r="G40" s="22" t="n"/>
    </row>
    <row r="41" ht="16" customHeight="1">
      <c r="B41" s="22" t="n"/>
      <c r="C41" s="22" t="n"/>
      <c r="D41" s="22" t="n"/>
      <c r="E41" s="22" t="n"/>
      <c r="F41" s="22" t="n"/>
      <c r="G41" s="22" t="n"/>
    </row>
    <row r="42">
      <c r="B42" s="23" t="inlineStr">
        <is>
          <t>1. Исходные параметры</t>
        </is>
      </c>
    </row>
    <row r="43" ht="18" customHeight="1">
      <c r="B43" s="6" t="inlineStr">
        <is>
          <t>Наименование</t>
        </is>
      </c>
      <c r="C43" s="6" t="inlineStr">
        <is>
          <t>Символ</t>
        </is>
      </c>
      <c r="D43" s="6" t="inlineStr">
        <is>
          <t>Значение</t>
        </is>
      </c>
      <c r="E43" s="6" t="inlineStr">
        <is>
          <t>Размерность</t>
        </is>
      </c>
    </row>
    <row r="44" ht="18" customHeight="1">
      <c r="B44" s="24" t="inlineStr">
        <is>
          <t>Число гироскопов</t>
        </is>
      </c>
      <c r="C44" s="7" t="inlineStr">
        <is>
          <t>N</t>
        </is>
      </c>
      <c r="D44" s="25" t="n">
        <v>10</v>
      </c>
      <c r="E44" s="11" t="inlineStr">
        <is>
          <t>шт.</t>
        </is>
      </c>
    </row>
    <row r="45" ht="18" customHeight="1">
      <c r="B45" s="24" t="inlineStr">
        <is>
          <t>Время t</t>
        </is>
      </c>
      <c r="C45" s="7" t="inlineStr">
        <is>
          <t>t</t>
        </is>
      </c>
      <c r="D45" s="25" t="n">
        <v>1000</v>
      </c>
      <c r="E45" s="11" t="inlineStr">
        <is>
          <t>ч</t>
        </is>
      </c>
    </row>
    <row r="46" ht="18" customHeight="1">
      <c r="B46" s="24" t="inlineStr">
        <is>
          <t>Число отказов к моменту t</t>
        </is>
      </c>
      <c r="C46" s="7" t="inlineStr">
        <is>
          <t>notk</t>
        </is>
      </c>
      <c r="D46" s="25" t="n">
        <v>2</v>
      </c>
      <c r="E46" s="11" t="inlineStr">
        <is>
          <t>шт.</t>
        </is>
      </c>
    </row>
    <row r="47" ht="18" customHeight="1">
      <c r="B47" s="24" t="inlineStr">
        <is>
          <t>Шаг по времени</t>
        </is>
      </c>
      <c r="C47" s="7" t="inlineStr">
        <is>
          <t>dt</t>
        </is>
      </c>
      <c r="D47" s="25" t="n">
        <v>100</v>
      </c>
      <c r="E47" s="11" t="inlineStr">
        <is>
          <t>ч</t>
        </is>
      </c>
    </row>
    <row r="48" ht="18" customHeight="1">
      <c r="B48" s="24" t="inlineStr">
        <is>
          <t>Отказов за интервал</t>
        </is>
      </c>
      <c r="C48" s="7" t="inlineStr">
        <is>
          <t>dn</t>
        </is>
      </c>
      <c r="D48" s="25" t="n">
        <v>1</v>
      </c>
      <c r="E48" s="11" t="inlineStr">
        <is>
          <t>шт.</t>
        </is>
      </c>
    </row>
    <row r="50">
      <c r="B50" s="23" t="inlineStr">
        <is>
          <t>2. Расчетные формулы и вычисления</t>
        </is>
      </c>
    </row>
    <row r="51" ht="18" customHeight="1">
      <c r="B51" s="6" t="inlineStr">
        <is>
          <t>Искомый показатель</t>
        </is>
      </c>
      <c r="C51" s="6" t="inlineStr">
        <is>
          <t>Обозначение</t>
        </is>
      </c>
      <c r="D51" s="6" t="inlineStr">
        <is>
          <t>Матем. формула</t>
        </is>
      </c>
      <c r="E51" s="6" t="inlineStr">
        <is>
          <t>Формула в Excel</t>
        </is>
      </c>
      <c r="F51" s="6" t="inlineStr">
        <is>
          <t>Результат</t>
        </is>
      </c>
      <c r="G51" s="6" t="inlineStr">
        <is>
          <t>Ед.</t>
        </is>
      </c>
    </row>
    <row r="52" ht="19" customHeight="1">
      <c r="B52" s="24" t="inlineStr">
        <is>
          <t>Исправных гироскопов к t</t>
        </is>
      </c>
      <c r="C52" s="7" t="inlineStr">
        <is>
          <t>n(t)</t>
        </is>
      </c>
      <c r="D52" s="26" t="inlineStr">
        <is>
          <t>N - notk</t>
        </is>
      </c>
      <c r="E52" s="27">
        <f>D44-D46</f>
        <v/>
      </c>
      <c r="F52" s="28">
        <f>D44-D46</f>
        <v/>
      </c>
      <c r="G52" s="11" t="inlineStr">
        <is>
          <t>шт.</t>
        </is>
      </c>
    </row>
    <row r="53" ht="19" customHeight="1">
      <c r="B53" s="24" t="inlineStr">
        <is>
          <t>Частота отказов</t>
        </is>
      </c>
      <c r="C53" s="7" t="inlineStr">
        <is>
          <t>f(1000)</t>
        </is>
      </c>
      <c r="D53" s="26" t="inlineStr">
        <is>
          <t>dn / (N · dt)</t>
        </is>
      </c>
      <c r="E53" s="27">
        <f>D48/(D44*D47)</f>
        <v/>
      </c>
      <c r="F53" s="10">
        <f>D48/(D44*D47)</f>
        <v/>
      </c>
      <c r="G53" s="11" t="inlineStr">
        <is>
          <t>1/ч</t>
        </is>
      </c>
    </row>
    <row r="54" ht="19" customHeight="1">
      <c r="B54" s="24" t="inlineStr">
        <is>
          <t>Интенсивность отказов</t>
        </is>
      </c>
      <c r="C54" s="7" t="inlineStr">
        <is>
          <t>λ(1000)</t>
        </is>
      </c>
      <c r="D54" s="26" t="inlineStr">
        <is>
          <t>dn / (n(t) · dt)</t>
        </is>
      </c>
      <c r="E54" s="27">
        <f>D48/(F52*D47)</f>
        <v/>
      </c>
      <c r="F54" s="10">
        <f>D48/(F52*D47)</f>
        <v/>
      </c>
      <c r="G54" s="11" t="inlineStr">
        <is>
          <t>1/ч</t>
        </is>
      </c>
    </row>
    <row r="55" ht="20" customHeight="1">
      <c r="B55" s="29" t="inlineStr">
        <is>
          <t>Итог: f(1000) = 0,001 1/ч, λ(1000) = 0,00125 1/ч.</t>
        </is>
      </c>
      <c r="C55" s="30" t="n"/>
      <c r="D55" s="30" t="n"/>
      <c r="E55" s="30" t="n"/>
      <c r="F55" s="30" t="n"/>
      <c r="G55" s="30" t="n"/>
    </row>
    <row r="57" ht="20" customHeight="1">
      <c r="B57" s="19" t="inlineStr">
        <is>
          <t>Задание №9. Испытание электронных ламп</t>
        </is>
      </c>
      <c r="C57" s="20" t="n"/>
      <c r="D57" s="20" t="n"/>
      <c r="E57" s="20" t="n"/>
      <c r="F57" s="20" t="n"/>
      <c r="G57" s="20" t="n"/>
    </row>
    <row r="58" ht="16" customHeight="1">
      <c r="B58" s="21" t="inlineStr">
        <is>
          <t>Текст задания: Партия ламп N=1000. За 3000 ч отказало 80 ламп, за 3000-4000 ч еще 50 ламп. Найти p(4000) и q(4000).</t>
        </is>
      </c>
      <c r="C58" s="22" t="n"/>
      <c r="D58" s="22" t="n"/>
      <c r="E58" s="22" t="n"/>
      <c r="F58" s="22" t="n"/>
      <c r="G58" s="22" t="n"/>
    </row>
    <row r="59" ht="16" customHeight="1">
      <c r="B59" s="22" t="n"/>
      <c r="C59" s="22" t="n"/>
      <c r="D59" s="22" t="n"/>
      <c r="E59" s="22" t="n"/>
      <c r="F59" s="22" t="n"/>
      <c r="G59" s="22" t="n"/>
    </row>
    <row r="60">
      <c r="B60" s="23" t="inlineStr">
        <is>
          <t>1. Исходные параметры</t>
        </is>
      </c>
    </row>
    <row r="61" ht="18" customHeight="1">
      <c r="B61" s="6" t="inlineStr">
        <is>
          <t>Наименование</t>
        </is>
      </c>
      <c r="C61" s="6" t="inlineStr">
        <is>
          <t>Символ</t>
        </is>
      </c>
      <c r="D61" s="6" t="inlineStr">
        <is>
          <t>Значение</t>
        </is>
      </c>
      <c r="E61" s="6" t="inlineStr">
        <is>
          <t>Размерность</t>
        </is>
      </c>
    </row>
    <row r="62" ht="18" customHeight="1">
      <c r="B62" s="24" t="inlineStr">
        <is>
          <t>Объем выборки ламп</t>
        </is>
      </c>
      <c r="C62" s="7" t="inlineStr">
        <is>
          <t>N</t>
        </is>
      </c>
      <c r="D62" s="25" t="n">
        <v>1000</v>
      </c>
      <c r="E62" s="11" t="inlineStr">
        <is>
          <t>шт.</t>
        </is>
      </c>
    </row>
    <row r="63" ht="18" customHeight="1">
      <c r="B63" s="24" t="inlineStr">
        <is>
          <t>Отказов до 3000 ч</t>
        </is>
      </c>
      <c r="C63" s="7" t="inlineStr">
        <is>
          <t>notk1</t>
        </is>
      </c>
      <c r="D63" s="25" t="n">
        <v>80</v>
      </c>
      <c r="E63" s="11" t="inlineStr">
        <is>
          <t>шт.</t>
        </is>
      </c>
    </row>
    <row r="64" ht="18" customHeight="1">
      <c r="B64" s="24" t="inlineStr">
        <is>
          <t>Отказов за 3000-4000 ч</t>
        </is>
      </c>
      <c r="C64" s="7" t="inlineStr">
        <is>
          <t>dn</t>
        </is>
      </c>
      <c r="D64" s="25" t="n">
        <v>50</v>
      </c>
      <c r="E64" s="11" t="inlineStr">
        <is>
          <t>шт.</t>
        </is>
      </c>
    </row>
    <row r="66">
      <c r="B66" s="23" t="inlineStr">
        <is>
          <t>2. Расчетные формулы и вычисления</t>
        </is>
      </c>
    </row>
    <row r="67" ht="18" customHeight="1">
      <c r="B67" s="6" t="inlineStr">
        <is>
          <t>Искомый показатель</t>
        </is>
      </c>
      <c r="C67" s="6" t="inlineStr">
        <is>
          <t>Обозначение</t>
        </is>
      </c>
      <c r="D67" s="6" t="inlineStr">
        <is>
          <t>Матем. формула</t>
        </is>
      </c>
      <c r="E67" s="6" t="inlineStr">
        <is>
          <t>Формула в Excel</t>
        </is>
      </c>
      <c r="F67" s="6" t="inlineStr">
        <is>
          <t>Результат</t>
        </is>
      </c>
      <c r="G67" s="6" t="inlineStr">
        <is>
          <t>Ед.</t>
        </is>
      </c>
    </row>
    <row r="68" ht="19" customHeight="1">
      <c r="B68" s="24" t="inlineStr">
        <is>
          <t>Всего отказов к 4000 ч</t>
        </is>
      </c>
      <c r="C68" s="7" t="inlineStr">
        <is>
          <t>notk_tot</t>
        </is>
      </c>
      <c r="D68" s="26" t="inlineStr">
        <is>
          <t>notk1 + dn</t>
        </is>
      </c>
      <c r="E68" s="27">
        <f>D63+D64</f>
        <v/>
      </c>
      <c r="F68" s="28">
        <f>D63+D64</f>
        <v/>
      </c>
      <c r="G68" s="11" t="inlineStr">
        <is>
          <t>шт.</t>
        </is>
      </c>
    </row>
    <row r="69" ht="19" customHeight="1">
      <c r="B69" s="24" t="inlineStr">
        <is>
          <t>Не отказавших ламп</t>
        </is>
      </c>
      <c r="C69" s="7" t="inlineStr">
        <is>
          <t>n(4000)</t>
        </is>
      </c>
      <c r="D69" s="26" t="inlineStr">
        <is>
          <t>N - notk_tot</t>
        </is>
      </c>
      <c r="E69" s="27">
        <f>D62-F68</f>
        <v/>
      </c>
      <c r="F69" s="28">
        <f>D62-F68</f>
        <v/>
      </c>
      <c r="G69" s="11" t="inlineStr">
        <is>
          <t>шт.</t>
        </is>
      </c>
    </row>
    <row r="70" ht="19" customHeight="1">
      <c r="B70" s="24" t="inlineStr">
        <is>
          <t>Вероятность безотказной работы</t>
        </is>
      </c>
      <c r="C70" s="7" t="inlineStr">
        <is>
          <t>p(4000)</t>
        </is>
      </c>
      <c r="D70" s="26" t="inlineStr">
        <is>
          <t>n(4000) / N</t>
        </is>
      </c>
      <c r="E70" s="27">
        <f>F69/D62</f>
        <v/>
      </c>
      <c r="F70" s="16">
        <f>F69/D62</f>
        <v/>
      </c>
      <c r="G70" s="11" t="inlineStr">
        <is>
          <t>—</t>
        </is>
      </c>
    </row>
    <row r="71" ht="19" customHeight="1">
      <c r="B71" s="24" t="inlineStr">
        <is>
          <t>Вероятность отказа</t>
        </is>
      </c>
      <c r="C71" s="7" t="inlineStr">
        <is>
          <t>q(4000)</t>
        </is>
      </c>
      <c r="D71" s="26" t="inlineStr">
        <is>
          <t>1 - p</t>
        </is>
      </c>
      <c r="E71" s="27">
        <f>1-F70</f>
        <v/>
      </c>
      <c r="F71" s="16">
        <f>1-F70</f>
        <v/>
      </c>
      <c r="G71" s="11" t="inlineStr">
        <is>
          <t>—</t>
        </is>
      </c>
    </row>
    <row r="72" ht="20" customHeight="1">
      <c r="B72" s="29" t="inlineStr">
        <is>
          <t>Итог: p(4000) = 0,8700; q(4000) = 0,1300.</t>
        </is>
      </c>
      <c r="C72" s="30" t="n"/>
      <c r="D72" s="30" t="n"/>
      <c r="E72" s="30" t="n"/>
      <c r="F72" s="30" t="n"/>
      <c r="G72" s="30" t="n"/>
    </row>
    <row r="74" ht="20" customHeight="1">
      <c r="B74" s="19" t="inlineStr">
        <is>
          <t>Задание №10. Характеристики изделий (N=1000)</t>
        </is>
      </c>
      <c r="C74" s="20" t="n"/>
      <c r="D74" s="20" t="n"/>
      <c r="E74" s="20" t="n"/>
      <c r="F74" s="20" t="n"/>
      <c r="G74" s="20" t="n"/>
    </row>
    <row r="75" ht="16" customHeight="1">
      <c r="B75" s="21" t="inlineStr">
        <is>
          <t>Текст задания: Поставлено 1000 изделий. К 1300 ч вышло из строя 288 шт., за 1300-1400 ч еще 13 шт. Найти p(1300), p(1400), f(1300), λ(1300).</t>
        </is>
      </c>
      <c r="C75" s="22" t="n"/>
      <c r="D75" s="22" t="n"/>
      <c r="E75" s="22" t="n"/>
      <c r="F75" s="22" t="n"/>
      <c r="G75" s="22" t="n"/>
    </row>
    <row r="76" ht="16" customHeight="1">
      <c r="B76" s="22" t="n"/>
      <c r="C76" s="22" t="n"/>
      <c r="D76" s="22" t="n"/>
      <c r="E76" s="22" t="n"/>
      <c r="F76" s="22" t="n"/>
      <c r="G76" s="22" t="n"/>
    </row>
    <row r="77">
      <c r="B77" s="23" t="inlineStr">
        <is>
          <t>1. Исходные параметры</t>
        </is>
      </c>
    </row>
    <row r="78" ht="18" customHeight="1">
      <c r="B78" s="6" t="inlineStr">
        <is>
          <t>Наименование</t>
        </is>
      </c>
      <c r="C78" s="6" t="inlineStr">
        <is>
          <t>Символ</t>
        </is>
      </c>
      <c r="D78" s="6" t="inlineStr">
        <is>
          <t>Значение</t>
        </is>
      </c>
      <c r="E78" s="6" t="inlineStr">
        <is>
          <t>Размерность</t>
        </is>
      </c>
    </row>
    <row r="79" ht="18" customHeight="1">
      <c r="B79" s="24" t="inlineStr">
        <is>
          <t>Общее число изделий</t>
        </is>
      </c>
      <c r="C79" s="7" t="inlineStr">
        <is>
          <t>N</t>
        </is>
      </c>
      <c r="D79" s="25" t="n">
        <v>1000</v>
      </c>
      <c r="E79" s="11" t="inlineStr">
        <is>
          <t>шт.</t>
        </is>
      </c>
    </row>
    <row r="80" ht="18" customHeight="1">
      <c r="B80" s="24" t="inlineStr">
        <is>
          <t>Время t1</t>
        </is>
      </c>
      <c r="C80" s="7" t="inlineStr">
        <is>
          <t>t1</t>
        </is>
      </c>
      <c r="D80" s="25" t="n">
        <v>1300</v>
      </c>
      <c r="E80" s="11" t="inlineStr">
        <is>
          <t>ч</t>
        </is>
      </c>
    </row>
    <row r="81" ht="18" customHeight="1">
      <c r="B81" s="24" t="inlineStr">
        <is>
          <t>Отказов к t1</t>
        </is>
      </c>
      <c r="C81" s="7" t="inlineStr">
        <is>
          <t>notk1</t>
        </is>
      </c>
      <c r="D81" s="25" t="n">
        <v>288</v>
      </c>
      <c r="E81" s="11" t="inlineStr">
        <is>
          <t>шт.</t>
        </is>
      </c>
    </row>
    <row r="82" ht="18" customHeight="1">
      <c r="B82" s="24" t="inlineStr">
        <is>
          <t>Интервал dt</t>
        </is>
      </c>
      <c r="C82" s="7" t="inlineStr">
        <is>
          <t>dt</t>
        </is>
      </c>
      <c r="D82" s="25" t="n">
        <v>100</v>
      </c>
      <c r="E82" s="11" t="inlineStr">
        <is>
          <t>ч</t>
        </is>
      </c>
    </row>
    <row r="83" ht="18" customHeight="1">
      <c r="B83" s="24" t="inlineStr">
        <is>
          <t>Отказов в интервале</t>
        </is>
      </c>
      <c r="C83" s="7" t="inlineStr">
        <is>
          <t>dn</t>
        </is>
      </c>
      <c r="D83" s="25" t="n">
        <v>13</v>
      </c>
      <c r="E83" s="11" t="inlineStr">
        <is>
          <t>шт.</t>
        </is>
      </c>
    </row>
    <row r="85">
      <c r="B85" s="23" t="inlineStr">
        <is>
          <t>2. Расчетные формулы и вычисления</t>
        </is>
      </c>
    </row>
    <row r="86" ht="18" customHeight="1">
      <c r="B86" s="6" t="inlineStr">
        <is>
          <t>Искомый показатель</t>
        </is>
      </c>
      <c r="C86" s="6" t="inlineStr">
        <is>
          <t>Обозначение</t>
        </is>
      </c>
      <c r="D86" s="6" t="inlineStr">
        <is>
          <t>Матем. формула</t>
        </is>
      </c>
      <c r="E86" s="6" t="inlineStr">
        <is>
          <t>Формула в Excel</t>
        </is>
      </c>
      <c r="F86" s="6" t="inlineStr">
        <is>
          <t>Результат</t>
        </is>
      </c>
      <c r="G86" s="6" t="inlineStr">
        <is>
          <t>Ед.</t>
        </is>
      </c>
    </row>
    <row r="87" ht="19" customHeight="1">
      <c r="B87" s="24" t="inlineStr">
        <is>
          <t>Исправных изделий к 1300 ч</t>
        </is>
      </c>
      <c r="C87" s="7" t="inlineStr">
        <is>
          <t>n(1300)</t>
        </is>
      </c>
      <c r="D87" s="26" t="inlineStr">
        <is>
          <t>N - notk1</t>
        </is>
      </c>
      <c r="E87" s="27">
        <f>D79-D81</f>
        <v/>
      </c>
      <c r="F87" s="28">
        <f>D79-D81</f>
        <v/>
      </c>
      <c r="G87" s="11" t="inlineStr">
        <is>
          <t>шт.</t>
        </is>
      </c>
    </row>
    <row r="88" ht="19" customHeight="1">
      <c r="B88" s="24" t="inlineStr">
        <is>
          <t>Исправных изделий к 1400 ч</t>
        </is>
      </c>
      <c r="C88" s="7" t="inlineStr">
        <is>
          <t>n(1400)</t>
        </is>
      </c>
      <c r="D88" s="26" t="inlineStr">
        <is>
          <t>n(1300) - dn</t>
        </is>
      </c>
      <c r="E88" s="27">
        <f>F87-D83</f>
        <v/>
      </c>
      <c r="F88" s="28">
        <f>F87-D83</f>
        <v/>
      </c>
      <c r="G88" s="11" t="inlineStr">
        <is>
          <t>шт.</t>
        </is>
      </c>
    </row>
    <row r="89" ht="19" customHeight="1">
      <c r="B89" s="24" t="inlineStr">
        <is>
          <t>Вероятность p(1300)</t>
        </is>
      </c>
      <c r="C89" s="7" t="inlineStr">
        <is>
          <t>p(1300)</t>
        </is>
      </c>
      <c r="D89" s="26" t="inlineStr">
        <is>
          <t>n(1300) / N</t>
        </is>
      </c>
      <c r="E89" s="27">
        <f>F87/D79</f>
        <v/>
      </c>
      <c r="F89" s="16">
        <f>F87/D79</f>
        <v/>
      </c>
      <c r="G89" s="11" t="inlineStr">
        <is>
          <t>—</t>
        </is>
      </c>
    </row>
    <row r="90" ht="19" customHeight="1">
      <c r="B90" s="24" t="inlineStr">
        <is>
          <t>Вероятность p(1400)</t>
        </is>
      </c>
      <c r="C90" s="7" t="inlineStr">
        <is>
          <t>p(1400)</t>
        </is>
      </c>
      <c r="D90" s="26" t="inlineStr">
        <is>
          <t>n(1400) / N</t>
        </is>
      </c>
      <c r="E90" s="27">
        <f>F88/D79</f>
        <v/>
      </c>
      <c r="F90" s="16">
        <f>F88/D79</f>
        <v/>
      </c>
      <c r="G90" s="11" t="inlineStr">
        <is>
          <t>—</t>
        </is>
      </c>
    </row>
    <row r="91" ht="19" customHeight="1">
      <c r="B91" s="24" t="inlineStr">
        <is>
          <t>Частота отказов f(1300)</t>
        </is>
      </c>
      <c r="C91" s="7" t="inlineStr">
        <is>
          <t>f(1300)</t>
        </is>
      </c>
      <c r="D91" s="26" t="inlineStr">
        <is>
          <t>dn / (N · dt)</t>
        </is>
      </c>
      <c r="E91" s="27">
        <f>D83/(D79*D82)</f>
        <v/>
      </c>
      <c r="F91" s="17">
        <f>D83/(D79*D82)</f>
        <v/>
      </c>
      <c r="G91" s="11" t="inlineStr">
        <is>
          <t>1/ч</t>
        </is>
      </c>
    </row>
    <row r="92" ht="19" customHeight="1">
      <c r="B92" s="24" t="inlineStr">
        <is>
          <t>Интенсивность отказов λ(1300)</t>
        </is>
      </c>
      <c r="C92" s="7" t="inlineStr">
        <is>
          <t>λ(1300)</t>
        </is>
      </c>
      <c r="D92" s="26" t="inlineStr">
        <is>
          <t>dn / (n(1300) · dt)</t>
        </is>
      </c>
      <c r="E92" s="27">
        <f>D83/(F87*D82)</f>
        <v/>
      </c>
      <c r="F92" s="17">
        <f>D83/(F87*D82)</f>
        <v/>
      </c>
      <c r="G92" s="11" t="inlineStr">
        <is>
          <t>1/ч</t>
        </is>
      </c>
    </row>
    <row r="93" ht="20" customHeight="1">
      <c r="B93" s="29" t="inlineStr">
        <is>
          <t>Итог: p(1300)=0,7120; p(1400)=0,6990; f=1,30·10⁻⁴ 1/ч; λ=1,83·10⁻⁴ 1/ч.</t>
        </is>
      </c>
      <c r="C93" s="30" t="n"/>
      <c r="D93" s="30" t="n"/>
      <c r="E93" s="30" t="n"/>
      <c r="F93" s="30" t="n"/>
      <c r="G93" s="30" t="n"/>
    </row>
    <row r="95" ht="20" customHeight="1">
      <c r="B95" s="19" t="inlineStr">
        <is>
          <t>Задание №11. Характеристики изделий (N=45)</t>
        </is>
      </c>
      <c r="C95" s="20" t="n"/>
      <c r="D95" s="20" t="n"/>
      <c r="E95" s="20" t="n"/>
      <c r="F95" s="20" t="n"/>
      <c r="G95" s="20" t="n"/>
    </row>
    <row r="96" ht="16" customHeight="1">
      <c r="B96" s="21" t="inlineStr">
        <is>
          <t>Текст задания: Поставлено 45 изделий. К 60 ч вышло из строя 35 шт., за 60-65 ч еще 3 шт. Найти p(60), p(65), f(60), λ(60).</t>
        </is>
      </c>
      <c r="C96" s="22" t="n"/>
      <c r="D96" s="22" t="n"/>
      <c r="E96" s="22" t="n"/>
      <c r="F96" s="22" t="n"/>
      <c r="G96" s="22" t="n"/>
    </row>
    <row r="97" ht="16" customHeight="1">
      <c r="B97" s="22" t="n"/>
      <c r="C97" s="22" t="n"/>
      <c r="D97" s="22" t="n"/>
      <c r="E97" s="22" t="n"/>
      <c r="F97" s="22" t="n"/>
      <c r="G97" s="22" t="n"/>
    </row>
    <row r="98">
      <c r="B98" s="23" t="inlineStr">
        <is>
          <t>1. Исходные параметры</t>
        </is>
      </c>
    </row>
    <row r="99" ht="18" customHeight="1">
      <c r="B99" s="6" t="inlineStr">
        <is>
          <t>Наименование</t>
        </is>
      </c>
      <c r="C99" s="6" t="inlineStr">
        <is>
          <t>Символ</t>
        </is>
      </c>
      <c r="D99" s="6" t="inlineStr">
        <is>
          <t>Значение</t>
        </is>
      </c>
      <c r="E99" s="6" t="inlineStr">
        <is>
          <t>Размерность</t>
        </is>
      </c>
    </row>
    <row r="100" ht="18" customHeight="1">
      <c r="B100" s="24" t="inlineStr">
        <is>
          <t>Общее число изделий</t>
        </is>
      </c>
      <c r="C100" s="7" t="inlineStr">
        <is>
          <t>N</t>
        </is>
      </c>
      <c r="D100" s="25" t="n">
        <v>45</v>
      </c>
      <c r="E100" s="11" t="inlineStr">
        <is>
          <t>шт.</t>
        </is>
      </c>
    </row>
    <row r="101" ht="18" customHeight="1">
      <c r="B101" s="24" t="inlineStr">
        <is>
          <t>Время t1</t>
        </is>
      </c>
      <c r="C101" s="7" t="inlineStr">
        <is>
          <t>t1</t>
        </is>
      </c>
      <c r="D101" s="25" t="n">
        <v>60</v>
      </c>
      <c r="E101" s="11" t="inlineStr">
        <is>
          <t>ч</t>
        </is>
      </c>
    </row>
    <row r="102" ht="18" customHeight="1">
      <c r="B102" s="24" t="inlineStr">
        <is>
          <t>Отказов к t1</t>
        </is>
      </c>
      <c r="C102" s="7" t="inlineStr">
        <is>
          <t>notk1</t>
        </is>
      </c>
      <c r="D102" s="25" t="n">
        <v>35</v>
      </c>
      <c r="E102" s="11" t="inlineStr">
        <is>
          <t>шт.</t>
        </is>
      </c>
    </row>
    <row r="103" ht="18" customHeight="1">
      <c r="B103" s="24" t="inlineStr">
        <is>
          <t>Интервал dt</t>
        </is>
      </c>
      <c r="C103" s="7" t="inlineStr">
        <is>
          <t>dt</t>
        </is>
      </c>
      <c r="D103" s="25" t="n">
        <v>5</v>
      </c>
      <c r="E103" s="11" t="inlineStr">
        <is>
          <t>ч</t>
        </is>
      </c>
    </row>
    <row r="104" ht="18" customHeight="1">
      <c r="B104" s="24" t="inlineStr">
        <is>
          <t>Отказов в интервале</t>
        </is>
      </c>
      <c r="C104" s="7" t="inlineStr">
        <is>
          <t>dn</t>
        </is>
      </c>
      <c r="D104" s="25" t="n">
        <v>3</v>
      </c>
      <c r="E104" s="11" t="inlineStr">
        <is>
          <t>шт.</t>
        </is>
      </c>
    </row>
    <row r="106">
      <c r="B106" s="23" t="inlineStr">
        <is>
          <t>2. Расчетные формулы и вычисления</t>
        </is>
      </c>
    </row>
    <row r="107" ht="18" customHeight="1">
      <c r="B107" s="6" t="inlineStr">
        <is>
          <t>Искомый показатель</t>
        </is>
      </c>
      <c r="C107" s="6" t="inlineStr">
        <is>
          <t>Обозначение</t>
        </is>
      </c>
      <c r="D107" s="6" t="inlineStr">
        <is>
          <t>Матем. формула</t>
        </is>
      </c>
      <c r="E107" s="6" t="inlineStr">
        <is>
          <t>Формула в Excel</t>
        </is>
      </c>
      <c r="F107" s="6" t="inlineStr">
        <is>
          <t>Результат</t>
        </is>
      </c>
      <c r="G107" s="6" t="inlineStr">
        <is>
          <t>Ед.</t>
        </is>
      </c>
    </row>
    <row r="108" ht="19" customHeight="1">
      <c r="B108" s="24" t="inlineStr">
        <is>
          <t>Исправных изделий к 60 ч</t>
        </is>
      </c>
      <c r="C108" s="7" t="inlineStr">
        <is>
          <t>n(60)</t>
        </is>
      </c>
      <c r="D108" s="26" t="inlineStr">
        <is>
          <t>N - notk1</t>
        </is>
      </c>
      <c r="E108" s="27">
        <f>D100-D102</f>
        <v/>
      </c>
      <c r="F108" s="28">
        <f>D100-D102</f>
        <v/>
      </c>
      <c r="G108" s="11" t="inlineStr">
        <is>
          <t>шт.</t>
        </is>
      </c>
    </row>
    <row r="109" ht="19" customHeight="1">
      <c r="B109" s="24" t="inlineStr">
        <is>
          <t>Исправных изделий к 65 ч</t>
        </is>
      </c>
      <c r="C109" s="7" t="inlineStr">
        <is>
          <t>n(65)</t>
        </is>
      </c>
      <c r="D109" s="26" t="inlineStr">
        <is>
          <t>n(60) - dn</t>
        </is>
      </c>
      <c r="E109" s="27">
        <f>F108-D104</f>
        <v/>
      </c>
      <c r="F109" s="28">
        <f>F108-D104</f>
        <v/>
      </c>
      <c r="G109" s="11" t="inlineStr">
        <is>
          <t>шт.</t>
        </is>
      </c>
    </row>
    <row r="110" ht="19" customHeight="1">
      <c r="B110" s="24" t="inlineStr">
        <is>
          <t>Вероятность p(60)</t>
        </is>
      </c>
      <c r="C110" s="7" t="inlineStr">
        <is>
          <t>p(60)</t>
        </is>
      </c>
      <c r="D110" s="26" t="inlineStr">
        <is>
          <t>n(60) / N</t>
        </is>
      </c>
      <c r="E110" s="27">
        <f>F108/D100</f>
        <v/>
      </c>
      <c r="F110" s="16">
        <f>F108/D100</f>
        <v/>
      </c>
      <c r="G110" s="11" t="inlineStr">
        <is>
          <t>—</t>
        </is>
      </c>
    </row>
    <row r="111" ht="19" customHeight="1">
      <c r="B111" s="24" t="inlineStr">
        <is>
          <t>Вероятность p(65)</t>
        </is>
      </c>
      <c r="C111" s="7" t="inlineStr">
        <is>
          <t>p(65)</t>
        </is>
      </c>
      <c r="D111" s="26" t="inlineStr">
        <is>
          <t>n(65) / N</t>
        </is>
      </c>
      <c r="E111" s="27">
        <f>F109/D100</f>
        <v/>
      </c>
      <c r="F111" s="16">
        <f>F109/D100</f>
        <v/>
      </c>
      <c r="G111" s="11" t="inlineStr">
        <is>
          <t>—</t>
        </is>
      </c>
    </row>
    <row r="112" ht="19" customHeight="1">
      <c r="B112" s="24" t="inlineStr">
        <is>
          <t>Частота отказов f(60)</t>
        </is>
      </c>
      <c r="C112" s="7" t="inlineStr">
        <is>
          <t>f(60)</t>
        </is>
      </c>
      <c r="D112" s="26" t="inlineStr">
        <is>
          <t>dn / (N · dt)</t>
        </is>
      </c>
      <c r="E112" s="27">
        <f>D104/(D100*D103)</f>
        <v/>
      </c>
      <c r="F112" s="17">
        <f>D104/(D100*D103)</f>
        <v/>
      </c>
      <c r="G112" s="11" t="inlineStr">
        <is>
          <t>1/ч</t>
        </is>
      </c>
    </row>
    <row r="113" ht="19" customHeight="1">
      <c r="B113" s="24" t="inlineStr">
        <is>
          <t>Интенсивность отказов λ(60)</t>
        </is>
      </c>
      <c r="C113" s="7" t="inlineStr">
        <is>
          <t>λ(60)</t>
        </is>
      </c>
      <c r="D113" s="26" t="inlineStr">
        <is>
          <t>dn / (n(60) · dt)</t>
        </is>
      </c>
      <c r="E113" s="27">
        <f>D104/(F108*D103)</f>
        <v/>
      </c>
      <c r="F113" s="17">
        <f>D104/(F108*D103)</f>
        <v/>
      </c>
      <c r="G113" s="11" t="inlineStr">
        <is>
          <t>1/ч</t>
        </is>
      </c>
    </row>
    <row r="114" ht="20" customHeight="1">
      <c r="B114" s="29" t="inlineStr">
        <is>
          <t>Итог: p(60)=0,2222; p(65)=0,1556; f=0,013333 1/ч; λ=0,060000 1/ч.</t>
        </is>
      </c>
      <c r="C114" s="30" t="n"/>
      <c r="D114" s="30" t="n"/>
      <c r="E114" s="30" t="n"/>
      <c r="F114" s="30" t="n"/>
      <c r="G114" s="30" t="n"/>
    </row>
    <row r="116" ht="20" customHeight="1">
      <c r="B116" s="19" t="inlineStr">
        <is>
          <t>Задание №12. Средняя наработка mt* по интервальным данным</t>
        </is>
      </c>
      <c r="C116" s="20" t="n"/>
      <c r="D116" s="20" t="n"/>
      <c r="E116" s="20" t="n"/>
      <c r="F116" s="20" t="n"/>
      <c r="G116" s="20" t="n"/>
    </row>
    <row r="117" ht="16" customHeight="1">
      <c r="B117" s="21" t="inlineStr">
        <is>
          <t>Текст задания: Наблюдение за 45 образцами РЭО после 80 ч приработки. Определить среднее время безотказной работы mt*.</t>
        </is>
      </c>
      <c r="C117" s="22" t="n"/>
      <c r="D117" s="22" t="n"/>
      <c r="E117" s="22" t="n"/>
      <c r="F117" s="22" t="n"/>
      <c r="G117" s="22" t="n"/>
    </row>
    <row r="118" ht="16" customHeight="1">
      <c r="B118" s="22" t="n"/>
      <c r="C118" s="22" t="n"/>
      <c r="D118" s="22" t="n"/>
      <c r="E118" s="22" t="n"/>
      <c r="F118" s="22" t="n"/>
      <c r="G118" s="22" t="n"/>
    </row>
    <row r="119">
      <c r="B119" s="23" t="inlineStr">
        <is>
          <t>Интервальный статистический ряд:</t>
        </is>
      </c>
    </row>
    <row r="120" ht="18" customHeight="1">
      <c r="B120" s="6" t="inlineStr">
        <is>
          <t>Интервал i</t>
        </is>
      </c>
      <c r="C120" s="6" t="inlineStr">
        <is>
          <t>Границы, ч</t>
        </is>
      </c>
      <c r="D120" s="6" t="inlineStr">
        <is>
          <t>Середина интервала tср, ч</t>
        </is>
      </c>
      <c r="E120" s="6" t="inlineStr">
        <is>
          <t>Число отказов ni, шт.</t>
        </is>
      </c>
      <c r="F120" s="6" t="inlineStr">
        <is>
          <t>ni · tср, ч</t>
        </is>
      </c>
    </row>
    <row r="121" ht="18" customHeight="1">
      <c r="B121" s="11" t="n">
        <v>1</v>
      </c>
      <c r="C121" s="11" t="inlineStr">
        <is>
          <t>0 - 10</t>
        </is>
      </c>
      <c r="D121" s="31" t="n">
        <v>5</v>
      </c>
      <c r="E121" s="32" t="n">
        <v>19</v>
      </c>
      <c r="F121" s="33">
        <f>D121*E121</f>
        <v/>
      </c>
    </row>
    <row r="122" ht="18" customHeight="1">
      <c r="B122" s="11" t="n">
        <v>2</v>
      </c>
      <c r="C122" s="11" t="inlineStr">
        <is>
          <t>10 - 20</t>
        </is>
      </c>
      <c r="D122" s="31" t="n">
        <v>15</v>
      </c>
      <c r="E122" s="32" t="n">
        <v>13</v>
      </c>
      <c r="F122" s="33">
        <f>D122*E122</f>
        <v/>
      </c>
    </row>
    <row r="123" ht="18" customHeight="1">
      <c r="B123" s="11" t="n">
        <v>3</v>
      </c>
      <c r="C123" s="11" t="inlineStr">
        <is>
          <t>20 - 30</t>
        </is>
      </c>
      <c r="D123" s="31" t="n">
        <v>25</v>
      </c>
      <c r="E123" s="32" t="n">
        <v>8</v>
      </c>
      <c r="F123" s="33">
        <f>D123*E123</f>
        <v/>
      </c>
    </row>
    <row r="124" ht="18" customHeight="1">
      <c r="B124" s="11" t="n">
        <v>4</v>
      </c>
      <c r="C124" s="11" t="inlineStr">
        <is>
          <t>30 - 40</t>
        </is>
      </c>
      <c r="D124" s="31" t="n">
        <v>35</v>
      </c>
      <c r="E124" s="32" t="n">
        <v>3</v>
      </c>
      <c r="F124" s="33">
        <f>D124*E124</f>
        <v/>
      </c>
    </row>
    <row r="125" ht="18" customHeight="1">
      <c r="B125" s="11" t="n">
        <v>5</v>
      </c>
      <c r="C125" s="11" t="inlineStr">
        <is>
          <t>40 - 50</t>
        </is>
      </c>
      <c r="D125" s="31" t="n">
        <v>45</v>
      </c>
      <c r="E125" s="32" t="n">
        <v>0</v>
      </c>
      <c r="F125" s="33">
        <f>D125*E125</f>
        <v/>
      </c>
    </row>
    <row r="126" ht="18" customHeight="1">
      <c r="B126" s="11" t="n">
        <v>6</v>
      </c>
      <c r="C126" s="11" t="inlineStr">
        <is>
          <t>50 - 60</t>
        </is>
      </c>
      <c r="D126" s="31" t="n">
        <v>55</v>
      </c>
      <c r="E126" s="32" t="n">
        <v>1</v>
      </c>
      <c r="F126" s="33">
        <f>D126*E126</f>
        <v/>
      </c>
    </row>
    <row r="127" ht="18" customHeight="1">
      <c r="B127" s="11" t="n">
        <v>7</v>
      </c>
      <c r="C127" s="11" t="inlineStr">
        <is>
          <t>60 - 70</t>
        </is>
      </c>
      <c r="D127" s="31" t="n">
        <v>65</v>
      </c>
      <c r="E127" s="32" t="n">
        <v>1</v>
      </c>
      <c r="F127" s="33">
        <f>D127*E127</f>
        <v/>
      </c>
    </row>
    <row r="128">
      <c r="B128" s="34" t="inlineStr">
        <is>
          <t>Итого:</t>
        </is>
      </c>
      <c r="C128" s="35" t="n"/>
      <c r="D128" s="35" t="n"/>
      <c r="E128" s="34">
        <f>SUM(E121:E127)</f>
        <v/>
      </c>
      <c r="F128" s="34">
        <f>SUM(F121:F127)</f>
        <v/>
      </c>
    </row>
    <row r="130">
      <c r="B130" s="36" t="inlineStr">
        <is>
          <t>Оценка среднего mt* = Σ(ni·tср) / N:</t>
        </is>
      </c>
      <c r="F130" s="18">
        <f>F128/E128</f>
        <v/>
      </c>
      <c r="G130" s="37" t="inlineStr">
        <is>
          <t>ч</t>
        </is>
      </c>
    </row>
    <row r="131">
      <c r="B131" s="29" t="inlineStr">
        <is>
          <t>Итог: mt* = 15,89 ч (полное время с учетом приработки 80 ч = 95,89 ч).</t>
        </is>
      </c>
      <c r="C131" s="30" t="n"/>
      <c r="D131" s="30" t="n"/>
      <c r="E131" s="30" t="n"/>
      <c r="F131" s="30" t="n"/>
      <c r="G131" s="30" t="n"/>
    </row>
    <row r="133" ht="20" customHeight="1">
      <c r="B133" s="19" t="inlineStr">
        <is>
          <t>Задание №13. Среднее время и выборочная дисперсия</t>
        </is>
      </c>
      <c r="C133" s="20" t="n"/>
      <c r="D133" s="20" t="n"/>
      <c r="E133" s="20" t="n"/>
      <c r="F133" s="20" t="n"/>
      <c r="G133" s="20" t="n"/>
    </row>
    <row r="134" ht="16" customHeight="1">
      <c r="B134" s="21" t="inlineStr">
        <is>
          <t>Текст задания: Выборка из 8 изделий с наработками: 560, 700, 800, 650, 580, 760, 920, 850 ч. Вычислить статистическую оценку среднего mt*.</t>
        </is>
      </c>
      <c r="C134" s="22" t="n"/>
      <c r="D134" s="22" t="n"/>
      <c r="E134" s="22" t="n"/>
      <c r="F134" s="22" t="n"/>
      <c r="G134" s="22" t="n"/>
    </row>
    <row r="135" ht="16" customHeight="1">
      <c r="B135" s="22" t="n"/>
      <c r="C135" s="22" t="n"/>
      <c r="D135" s="22" t="n"/>
      <c r="E135" s="22" t="n"/>
      <c r="F135" s="22" t="n"/>
      <c r="G135" s="22" t="n"/>
    </row>
    <row r="136">
      <c r="B136" s="23" t="inlineStr">
        <is>
          <t>Экспериментальные наработки изделий:</t>
        </is>
      </c>
    </row>
    <row r="137" ht="18" customHeight="1">
      <c r="B137" s="6" t="inlineStr">
        <is>
          <t>№ изделия</t>
        </is>
      </c>
      <c r="C137" s="6" t="inlineStr">
        <is>
          <t>Символ</t>
        </is>
      </c>
      <c r="D137" s="6" t="inlineStr">
        <is>
          <t>Наработка ti, ч</t>
        </is>
      </c>
    </row>
    <row r="138" ht="18" customHeight="1">
      <c r="B138" s="11" t="n">
        <v>1</v>
      </c>
      <c r="C138" s="7" t="inlineStr">
        <is>
          <t>t1</t>
        </is>
      </c>
      <c r="D138" s="32" t="n">
        <v>560</v>
      </c>
    </row>
    <row r="139" ht="18" customHeight="1">
      <c r="B139" s="11" t="n">
        <v>2</v>
      </c>
      <c r="C139" s="7" t="inlineStr">
        <is>
          <t>t2</t>
        </is>
      </c>
      <c r="D139" s="32" t="n">
        <v>700</v>
      </c>
    </row>
    <row r="140" ht="18" customHeight="1">
      <c r="B140" s="11" t="n">
        <v>3</v>
      </c>
      <c r="C140" s="7" t="inlineStr">
        <is>
          <t>t3</t>
        </is>
      </c>
      <c r="D140" s="32" t="n">
        <v>800</v>
      </c>
    </row>
    <row r="141" ht="18" customHeight="1">
      <c r="B141" s="11" t="n">
        <v>4</v>
      </c>
      <c r="C141" s="7" t="inlineStr">
        <is>
          <t>t4</t>
        </is>
      </c>
      <c r="D141" s="32" t="n">
        <v>650</v>
      </c>
    </row>
    <row r="142" ht="18" customHeight="1">
      <c r="B142" s="11" t="n">
        <v>5</v>
      </c>
      <c r="C142" s="7" t="inlineStr">
        <is>
          <t>t5</t>
        </is>
      </c>
      <c r="D142" s="32" t="n">
        <v>580</v>
      </c>
    </row>
    <row r="143" ht="18" customHeight="1">
      <c r="B143" s="11" t="n">
        <v>6</v>
      </c>
      <c r="C143" s="7" t="inlineStr">
        <is>
          <t>t6</t>
        </is>
      </c>
      <c r="D143" s="32" t="n">
        <v>760</v>
      </c>
    </row>
    <row r="144" ht="18" customHeight="1">
      <c r="B144" s="11" t="n">
        <v>7</v>
      </c>
      <c r="C144" s="7" t="inlineStr">
        <is>
          <t>t7</t>
        </is>
      </c>
      <c r="D144" s="32" t="n">
        <v>920</v>
      </c>
    </row>
    <row r="145" ht="18" customHeight="1">
      <c r="B145" s="11" t="n">
        <v>8</v>
      </c>
      <c r="C145" s="7" t="inlineStr">
        <is>
          <t>t8</t>
        </is>
      </c>
      <c r="D145" s="32" t="n">
        <v>850</v>
      </c>
    </row>
    <row r="146">
      <c r="B146" s="34" t="inlineStr">
        <is>
          <t>Суммарная наработка Σti:</t>
        </is>
      </c>
      <c r="C146" s="35" t="n"/>
      <c r="D146" s="34">
        <f>SUM(D138:D145)</f>
        <v/>
      </c>
    </row>
    <row r="148">
      <c r="B148" s="36" t="inlineStr">
        <is>
          <t>Среднее время mt* = Σti / N:</t>
        </is>
      </c>
      <c r="F148" s="18">
        <f>AVERAGE(D138:D145)</f>
        <v/>
      </c>
      <c r="G148" s="37" t="inlineStr">
        <is>
          <t>ч</t>
        </is>
      </c>
    </row>
    <row r="149">
      <c r="B149" s="36" t="inlineStr">
        <is>
          <t>Дисперсия наработки Dt*:</t>
        </is>
      </c>
      <c r="F149" s="38">
        <f>VAR.S(D138:D145)</f>
        <v/>
      </c>
      <c r="G149" s="37" t="inlineStr">
        <is>
          <t>ч²</t>
        </is>
      </c>
    </row>
    <row r="150">
      <c r="B150" s="29" t="inlineStr">
        <is>
          <t>Итог: Средняя наработка mt* = 727,50 ч (Dt* = 16307,14 ч²).</t>
        </is>
      </c>
      <c r="C150" s="30" t="n"/>
      <c r="D150" s="30" t="n"/>
      <c r="E150" s="30" t="n"/>
      <c r="F150" s="30" t="n"/>
      <c r="G150" s="30" t="n"/>
    </row>
    <row r="152" ht="20" customHeight="1">
      <c r="B152" s="19" t="inlineStr">
        <is>
          <t>Задание №14. Среднее время восстановления</t>
        </is>
      </c>
      <c r="C152" s="20" t="n"/>
      <c r="D152" s="20" t="n"/>
      <c r="E152" s="20" t="n"/>
      <c r="F152" s="20" t="n"/>
      <c r="G152" s="20" t="n"/>
    </row>
    <row r="153" ht="16" customHeight="1">
      <c r="B153" s="21" t="inlineStr">
        <is>
          <t>Текст задания: Зарегистрировано 6 отказов аппаратуры с длительностями ремонта: 15, 20, 10, 28, 22, 30 мин. Найти среднее время восстановления mt.</t>
        </is>
      </c>
      <c r="C153" s="22" t="n"/>
      <c r="D153" s="22" t="n"/>
      <c r="E153" s="22" t="n"/>
      <c r="F153" s="22" t="n"/>
      <c r="G153" s="22" t="n"/>
    </row>
    <row r="154" ht="16" customHeight="1">
      <c r="B154" s="22" t="n"/>
      <c r="C154" s="22" t="n"/>
      <c r="D154" s="22" t="n"/>
      <c r="E154" s="22" t="n"/>
      <c r="F154" s="22" t="n"/>
      <c r="G154" s="22" t="n"/>
    </row>
    <row r="155">
      <c r="B155" s="23" t="inlineStr">
        <is>
          <t>Время ремонта по отказам:</t>
        </is>
      </c>
    </row>
    <row r="156" ht="18" customHeight="1">
      <c r="B156" s="6" t="inlineStr">
        <is>
          <t>№</t>
        </is>
      </c>
      <c r="C156" s="6" t="inlineStr">
        <is>
          <t>Обозначение</t>
        </is>
      </c>
      <c r="D156" s="6" t="inlineStr">
        <is>
          <t>Время ремонта, мин</t>
        </is>
      </c>
    </row>
    <row r="157" ht="18" customHeight="1">
      <c r="B157" s="11" t="n">
        <v>1</v>
      </c>
      <c r="C157" s="7" t="inlineStr">
        <is>
          <t>t1</t>
        </is>
      </c>
      <c r="D157" s="32" t="n">
        <v>15</v>
      </c>
    </row>
    <row r="158" ht="18" customHeight="1">
      <c r="B158" s="11" t="n">
        <v>2</v>
      </c>
      <c r="C158" s="7" t="inlineStr">
        <is>
          <t>t2</t>
        </is>
      </c>
      <c r="D158" s="32" t="n">
        <v>20</v>
      </c>
    </row>
    <row r="159" ht="18" customHeight="1">
      <c r="B159" s="11" t="n">
        <v>3</v>
      </c>
      <c r="C159" s="7" t="inlineStr">
        <is>
          <t>t3</t>
        </is>
      </c>
      <c r="D159" s="32" t="n">
        <v>10</v>
      </c>
    </row>
    <row r="160" ht="18" customHeight="1">
      <c r="B160" s="11" t="n">
        <v>4</v>
      </c>
      <c r="C160" s="7" t="inlineStr">
        <is>
          <t>t4</t>
        </is>
      </c>
      <c r="D160" s="32" t="n">
        <v>28</v>
      </c>
    </row>
    <row r="161" ht="18" customHeight="1">
      <c r="B161" s="11" t="n">
        <v>5</v>
      </c>
      <c r="C161" s="7" t="inlineStr">
        <is>
          <t>t5</t>
        </is>
      </c>
      <c r="D161" s="32" t="n">
        <v>22</v>
      </c>
    </row>
    <row r="162" ht="18" customHeight="1">
      <c r="B162" s="11" t="n">
        <v>6</v>
      </c>
      <c r="C162" s="7" t="inlineStr">
        <is>
          <t>t6</t>
        </is>
      </c>
      <c r="D162" s="32" t="n">
        <v>30</v>
      </c>
    </row>
    <row r="163">
      <c r="B163" s="34" t="inlineStr">
        <is>
          <t>Сумма времени восстановления:</t>
        </is>
      </c>
      <c r="C163" s="35" t="n"/>
      <c r="D163" s="34">
        <f>SUM(D157:D162)</f>
        <v/>
      </c>
    </row>
    <row r="165">
      <c r="B165" s="36" t="inlineStr">
        <is>
          <t>Среднее время восстановления mt:</t>
        </is>
      </c>
      <c r="F165" s="18">
        <f>AVERAGE(D157:D162)</f>
        <v/>
      </c>
      <c r="G165" s="37" t="inlineStr">
        <is>
          <t>мин</t>
        </is>
      </c>
    </row>
    <row r="166">
      <c r="B166" s="29" t="inlineStr">
        <is>
          <t>Итог: Среднее время восстановления mt = 20,83 мин.</t>
        </is>
      </c>
      <c r="C166" s="30" t="n"/>
      <c r="D166" s="30" t="n"/>
      <c r="E166" s="30" t="n"/>
      <c r="F166" s="30" t="n"/>
      <c r="G166" s="30" t="n"/>
    </row>
    <row r="168" ht="20" customHeight="1">
      <c r="B168" s="19" t="inlineStr">
        <is>
          <t>Задание №15. Характеристики партии при длительной наработке</t>
        </is>
      </c>
      <c r="C168" s="20" t="n"/>
      <c r="D168" s="20" t="n"/>
      <c r="E168" s="20" t="n"/>
      <c r="F168" s="20" t="n"/>
      <c r="G168" s="20" t="n"/>
    </row>
    <row r="169" ht="16" customHeight="1">
      <c r="B169" s="21" t="inlineStr">
        <is>
          <t>Текст задания: Партия N=1000 изделий. К t1=11000 ч отказало 410 шт. За интервал 11000-12000 ч отказало еще 40 шт. Найти p(11000), p(12000), f(11000), λ(11000).</t>
        </is>
      </c>
      <c r="C169" s="22" t="n"/>
      <c r="D169" s="22" t="n"/>
      <c r="E169" s="22" t="n"/>
      <c r="F169" s="22" t="n"/>
      <c r="G169" s="22" t="n"/>
    </row>
    <row r="170" ht="16" customHeight="1">
      <c r="B170" s="22" t="n"/>
      <c r="C170" s="22" t="n"/>
      <c r="D170" s="22" t="n"/>
      <c r="E170" s="22" t="n"/>
      <c r="F170" s="22" t="n"/>
      <c r="G170" s="22" t="n"/>
    </row>
    <row r="171">
      <c r="B171" s="23" t="inlineStr">
        <is>
          <t>1. Исходные параметры</t>
        </is>
      </c>
    </row>
    <row r="172" ht="18" customHeight="1">
      <c r="B172" s="6" t="inlineStr">
        <is>
          <t>Наименование</t>
        </is>
      </c>
      <c r="C172" s="6" t="inlineStr">
        <is>
          <t>Символ</t>
        </is>
      </c>
      <c r="D172" s="6" t="inlineStr">
        <is>
          <t>Значение</t>
        </is>
      </c>
      <c r="E172" s="6" t="inlineStr">
        <is>
          <t>Размерность</t>
        </is>
      </c>
    </row>
    <row r="173" ht="18" customHeight="1">
      <c r="B173" s="24" t="inlineStr">
        <is>
          <t>Число изделий</t>
        </is>
      </c>
      <c r="C173" s="7" t="inlineStr">
        <is>
          <t>N</t>
        </is>
      </c>
      <c r="D173" s="25" t="n">
        <v>1000</v>
      </c>
      <c r="E173" s="11" t="inlineStr">
        <is>
          <t>шт.</t>
        </is>
      </c>
    </row>
    <row r="174" ht="18" customHeight="1">
      <c r="B174" s="24" t="inlineStr">
        <is>
          <t>Время t1</t>
        </is>
      </c>
      <c r="C174" s="7" t="inlineStr">
        <is>
          <t>t1</t>
        </is>
      </c>
      <c r="D174" s="25" t="n">
        <v>11000</v>
      </c>
      <c r="E174" s="11" t="inlineStr">
        <is>
          <t>ч</t>
        </is>
      </c>
    </row>
    <row r="175" ht="18" customHeight="1">
      <c r="B175" s="24" t="inlineStr">
        <is>
          <t>Отказов к t1</t>
        </is>
      </c>
      <c r="C175" s="7" t="inlineStr">
        <is>
          <t>notk1</t>
        </is>
      </c>
      <c r="D175" s="25" t="n">
        <v>410</v>
      </c>
      <c r="E175" s="11" t="inlineStr">
        <is>
          <t>шт.</t>
        </is>
      </c>
    </row>
    <row r="176" ht="18" customHeight="1">
      <c r="B176" s="24" t="inlineStr">
        <is>
          <t>Интервал dt</t>
        </is>
      </c>
      <c r="C176" s="7" t="inlineStr">
        <is>
          <t>dt</t>
        </is>
      </c>
      <c r="D176" s="25" t="n">
        <v>1000</v>
      </c>
      <c r="E176" s="11" t="inlineStr">
        <is>
          <t>ч</t>
        </is>
      </c>
    </row>
    <row r="177" ht="18" customHeight="1">
      <c r="B177" s="24" t="inlineStr">
        <is>
          <t>Отказов в интервале</t>
        </is>
      </c>
      <c r="C177" s="7" t="inlineStr">
        <is>
          <t>dn</t>
        </is>
      </c>
      <c r="D177" s="25" t="n">
        <v>40</v>
      </c>
      <c r="E177" s="11" t="inlineStr">
        <is>
          <t>шт.</t>
        </is>
      </c>
    </row>
    <row r="179">
      <c r="B179" s="23" t="inlineStr">
        <is>
          <t>2. Расчетные формулы и вычисления</t>
        </is>
      </c>
    </row>
    <row r="180" ht="18" customHeight="1">
      <c r="B180" s="6" t="inlineStr">
        <is>
          <t>Искомый показатель</t>
        </is>
      </c>
      <c r="C180" s="6" t="inlineStr">
        <is>
          <t>Обозначение</t>
        </is>
      </c>
      <c r="D180" s="6" t="inlineStr">
        <is>
          <t>Матем. формула</t>
        </is>
      </c>
      <c r="E180" s="6" t="inlineStr">
        <is>
          <t>Формула в Excel</t>
        </is>
      </c>
      <c r="F180" s="6" t="inlineStr">
        <is>
          <t>Результат</t>
        </is>
      </c>
      <c r="G180" s="6" t="inlineStr">
        <is>
          <t>Ед.</t>
        </is>
      </c>
    </row>
    <row r="181" ht="19" customHeight="1">
      <c r="B181" s="24" t="inlineStr">
        <is>
          <t>Исправных изделий к 11000 ч</t>
        </is>
      </c>
      <c r="C181" s="7" t="inlineStr">
        <is>
          <t>n(11000)</t>
        </is>
      </c>
      <c r="D181" s="26" t="inlineStr">
        <is>
          <t>N - notk1</t>
        </is>
      </c>
      <c r="E181" s="27">
        <f>D173-D175</f>
        <v/>
      </c>
      <c r="F181" s="28">
        <f>D173-D175</f>
        <v/>
      </c>
      <c r="G181" s="11" t="inlineStr">
        <is>
          <t>шт.</t>
        </is>
      </c>
    </row>
    <row r="182" ht="19" customHeight="1">
      <c r="B182" s="24" t="inlineStr">
        <is>
          <t>Исправных изделий к 12000 ч</t>
        </is>
      </c>
      <c r="C182" s="7" t="inlineStr">
        <is>
          <t>n(12000)</t>
        </is>
      </c>
      <c r="D182" s="26" t="inlineStr">
        <is>
          <t>n(11000) - dn</t>
        </is>
      </c>
      <c r="E182" s="27">
        <f>F181-D177</f>
        <v/>
      </c>
      <c r="F182" s="28">
        <f>F181-D177</f>
        <v/>
      </c>
      <c r="G182" s="11" t="inlineStr">
        <is>
          <t>шт.</t>
        </is>
      </c>
    </row>
    <row r="183" ht="19" customHeight="1">
      <c r="B183" s="24" t="inlineStr">
        <is>
          <t>Вероятность p(11000)</t>
        </is>
      </c>
      <c r="C183" s="7" t="inlineStr">
        <is>
          <t>p(11000)</t>
        </is>
      </c>
      <c r="D183" s="26" t="inlineStr">
        <is>
          <t>n(11000) / N</t>
        </is>
      </c>
      <c r="E183" s="27">
        <f>F181/D173</f>
        <v/>
      </c>
      <c r="F183" s="16">
        <f>F181/D173</f>
        <v/>
      </c>
      <c r="G183" s="11" t="inlineStr">
        <is>
          <t>—</t>
        </is>
      </c>
    </row>
    <row r="184" ht="19" customHeight="1">
      <c r="B184" s="24" t="inlineStr">
        <is>
          <t>Вероятность p(12000)</t>
        </is>
      </c>
      <c r="C184" s="7" t="inlineStr">
        <is>
          <t>p(12000)</t>
        </is>
      </c>
      <c r="D184" s="26" t="inlineStr">
        <is>
          <t>n(12000) / N</t>
        </is>
      </c>
      <c r="E184" s="27">
        <f>F182/D173</f>
        <v/>
      </c>
      <c r="F184" s="16">
        <f>F182/D173</f>
        <v/>
      </c>
      <c r="G184" s="11" t="inlineStr">
        <is>
          <t>—</t>
        </is>
      </c>
    </row>
    <row r="185" ht="19" customHeight="1">
      <c r="B185" s="24" t="inlineStr">
        <is>
          <t>Частота отказов f(11000)</t>
        </is>
      </c>
      <c r="C185" s="7" t="inlineStr">
        <is>
          <t>f(11000)</t>
        </is>
      </c>
      <c r="D185" s="26" t="inlineStr">
        <is>
          <t>dn / (N · dt)</t>
        </is>
      </c>
      <c r="E185" s="27">
        <f>D177/(D173*D176)</f>
        <v/>
      </c>
      <c r="F185" s="17">
        <f>D177/(D173*D176)</f>
        <v/>
      </c>
      <c r="G185" s="11" t="inlineStr">
        <is>
          <t>1/ч</t>
        </is>
      </c>
    </row>
    <row r="186" ht="19" customHeight="1">
      <c r="B186" s="24" t="inlineStr">
        <is>
          <t>Интенсивность отказов λ(11000)</t>
        </is>
      </c>
      <c r="C186" s="7" t="inlineStr">
        <is>
          <t>λ(11000)</t>
        </is>
      </c>
      <c r="D186" s="26" t="inlineStr">
        <is>
          <t>dn / (n(11000) · dt)</t>
        </is>
      </c>
      <c r="E186" s="27">
        <f>D177/(F181*D176)</f>
        <v/>
      </c>
      <c r="F186" s="17">
        <f>D177/(F181*D176)</f>
        <v/>
      </c>
      <c r="G186" s="11" t="inlineStr">
        <is>
          <t>1/ч</t>
        </is>
      </c>
    </row>
    <row r="187" ht="20" customHeight="1">
      <c r="B187" s="29" t="inlineStr">
        <is>
          <t>Итог: p(11000)=0,5900; p(12000)=0,5500; f=4,00·10⁻⁵ 1/ч; λ=6,78·10⁻⁵ 1/ч.</t>
        </is>
      </c>
      <c r="C187" s="30" t="n"/>
      <c r="D187" s="30" t="n"/>
      <c r="E187" s="30" t="n"/>
      <c r="F187" s="30" t="n"/>
      <c r="G187" s="30" t="n"/>
    </row>
  </sheetData>
  <mergeCells count="35">
    <mergeCell ref="B2:G2"/>
    <mergeCell ref="B40:G41"/>
    <mergeCell ref="B23:G23"/>
    <mergeCell ref="B57:G57"/>
    <mergeCell ref="B166:G166"/>
    <mergeCell ref="B75:G76"/>
    <mergeCell ref="B116:G116"/>
    <mergeCell ref="B169:G170"/>
    <mergeCell ref="B134:G135"/>
    <mergeCell ref="B128:D128"/>
    <mergeCell ref="B168:G168"/>
    <mergeCell ref="B37:G37"/>
    <mergeCell ref="B153:G154"/>
    <mergeCell ref="B74:G74"/>
    <mergeCell ref="B187:G187"/>
    <mergeCell ref="B96:G97"/>
    <mergeCell ref="B55:G55"/>
    <mergeCell ref="B95:G95"/>
    <mergeCell ref="B133:G133"/>
    <mergeCell ref="B5:G5"/>
    <mergeCell ref="B58:G59"/>
    <mergeCell ref="B114:G114"/>
    <mergeCell ref="B146:C146"/>
    <mergeCell ref="B117:G118"/>
    <mergeCell ref="B152:G152"/>
    <mergeCell ref="B72:G72"/>
    <mergeCell ref="B3:G3"/>
    <mergeCell ref="B6:G7"/>
    <mergeCell ref="B24:G25"/>
    <mergeCell ref="B131:G131"/>
    <mergeCell ref="B150:G150"/>
    <mergeCell ref="B93:G93"/>
    <mergeCell ref="B163:C163"/>
    <mergeCell ref="B21:G21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2026-09-29T05:35:17Z</dcterms:created>
  <dcterms:modified xmlns:dcterms="http://purl.org/dc/terms/" xmlns:xsi="http://www.w3.org/2001/XMLSchema-instance" xsi:type="dcterms:W3CDTF">2026-09-29T05:35:17Z</dcterms:modified>
</cp:coreProperties>
</file>