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65e46b09b2f3c2de/Рабочий стол/НАС практики ризванов/"/>
    </mc:Choice>
  </mc:AlternateContent>
  <xr:revisionPtr revIDLastSave="2" documentId="11_8BDD243B6D391FA0287182502F59E2B6A68084B5" xr6:coauthVersionLast="45" xr6:coauthVersionMax="45" xr10:uidLastSave="{AE0D275B-4CC7-4FD5-A7A0-835E5D4CD3D8}"/>
  <bookViews>
    <workbookView xWindow="-110" yWindow="-110" windowWidth="19420" windowHeight="10420" xr2:uid="{00000000-000D-0000-FFFF-FFFF00000000}"/>
  </bookViews>
  <sheets>
    <sheet name="Сводка и Ответы" sheetId="1" r:id="rId1"/>
    <sheet name="Задачи 6-15" sheetId="2" r:id="rId2"/>
    <sheet name="Задачи 1-5" sheetId="3" state="hidden" r:id="rId3"/>
    <sheet name="Теория и формулы" sheetId="4" state="hidden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6" i="3" l="1"/>
  <c r="E111" i="3" s="1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106" i="3" s="1"/>
  <c r="E81" i="3"/>
  <c r="F38" i="1" s="1"/>
  <c r="E80" i="3"/>
  <c r="D80" i="3"/>
  <c r="E79" i="3"/>
  <c r="D79" i="3"/>
  <c r="D75" i="3"/>
  <c r="E59" i="3"/>
  <c r="E55" i="3"/>
  <c r="E57" i="3" s="1"/>
  <c r="F37" i="1" s="1"/>
  <c r="E36" i="3"/>
  <c r="E37" i="3" s="1"/>
  <c r="E19" i="3"/>
  <c r="E18" i="3"/>
  <c r="E17" i="3"/>
  <c r="E20" i="3" s="1"/>
  <c r="E21" i="3" s="1"/>
  <c r="F35" i="1" s="1"/>
  <c r="E216" i="2"/>
  <c r="F30" i="1" s="1"/>
  <c r="E215" i="2"/>
  <c r="F29" i="1" s="1"/>
  <c r="E213" i="2"/>
  <c r="F27" i="1" s="1"/>
  <c r="E212" i="2"/>
  <c r="E214" i="2" s="1"/>
  <c r="F28" i="1" s="1"/>
  <c r="E211" i="2"/>
  <c r="D206" i="2"/>
  <c r="E192" i="2"/>
  <c r="E191" i="2"/>
  <c r="D191" i="2"/>
  <c r="D187" i="2"/>
  <c r="E186" i="2"/>
  <c r="E185" i="2"/>
  <c r="E184" i="2"/>
  <c r="E183" i="2"/>
  <c r="E193" i="2" s="1"/>
  <c r="E182" i="2"/>
  <c r="E181" i="2"/>
  <c r="E171" i="2"/>
  <c r="E172" i="2" s="1"/>
  <c r="E170" i="2"/>
  <c r="E169" i="2"/>
  <c r="E163" i="2" s="1"/>
  <c r="F163" i="2" s="1"/>
  <c r="E168" i="2"/>
  <c r="D168" i="2"/>
  <c r="D164" i="2"/>
  <c r="E160" i="2"/>
  <c r="F160" i="2" s="1"/>
  <c r="E159" i="2"/>
  <c r="F159" i="2" s="1"/>
  <c r="E158" i="2"/>
  <c r="F158" i="2" s="1"/>
  <c r="E140" i="2"/>
  <c r="E145" i="2" s="1"/>
  <c r="F139" i="2"/>
  <c r="F140" i="2" s="1"/>
  <c r="F138" i="2"/>
  <c r="F137" i="2"/>
  <c r="F136" i="2"/>
  <c r="F135" i="2"/>
  <c r="F134" i="2"/>
  <c r="F133" i="2"/>
  <c r="E123" i="2"/>
  <c r="F22" i="1" s="1"/>
  <c r="E119" i="2"/>
  <c r="E120" i="2" s="1"/>
  <c r="E122" i="2" s="1"/>
  <c r="F21" i="1" s="1"/>
  <c r="D114" i="2"/>
  <c r="E96" i="2"/>
  <c r="E98" i="2" s="1"/>
  <c r="F16" i="1" s="1"/>
  <c r="D91" i="2"/>
  <c r="E100" i="2" s="1"/>
  <c r="F18" i="1" s="1"/>
  <c r="E75" i="2"/>
  <c r="E76" i="2" s="1"/>
  <c r="E77" i="2" s="1"/>
  <c r="E57" i="2"/>
  <c r="E59" i="2" s="1"/>
  <c r="F13" i="1" s="1"/>
  <c r="D52" i="2"/>
  <c r="E58" i="2" s="1"/>
  <c r="F12" i="1" s="1"/>
  <c r="E37" i="2"/>
  <c r="E38" i="2" s="1"/>
  <c r="E20" i="2"/>
  <c r="E22" i="2" s="1"/>
  <c r="F9" i="1" s="1"/>
  <c r="D15" i="2"/>
  <c r="E21" i="2" s="1"/>
  <c r="F8" i="1" s="1"/>
  <c r="F26" i="1"/>
  <c r="F25" i="1"/>
  <c r="E112" i="3" l="1"/>
  <c r="F39" i="1" s="1"/>
  <c r="E110" i="3"/>
  <c r="D110" i="3"/>
  <c r="F10" i="1"/>
  <c r="E39" i="2"/>
  <c r="F11" i="1" s="1"/>
  <c r="E78" i="2"/>
  <c r="F15" i="1" s="1"/>
  <c r="F14" i="1"/>
  <c r="F36" i="1"/>
  <c r="E38" i="3"/>
  <c r="E146" i="2"/>
  <c r="F24" i="1" s="1"/>
  <c r="E144" i="2"/>
  <c r="D144" i="2"/>
  <c r="E147" i="2"/>
  <c r="E121" i="2"/>
  <c r="F20" i="1" s="1"/>
  <c r="E56" i="3"/>
  <c r="E58" i="3" s="1"/>
  <c r="E124" i="2"/>
  <c r="F23" i="1" s="1"/>
  <c r="D145" i="2"/>
  <c r="E60" i="3"/>
  <c r="D111" i="3"/>
  <c r="E101" i="2"/>
  <c r="F19" i="1" s="1"/>
  <c r="E187" i="2"/>
  <c r="E97" i="2"/>
  <c r="E99" i="2" s="1"/>
  <c r="F17" i="1" s="1"/>
  <c r="E161" i="2"/>
  <c r="F161" i="2" s="1"/>
  <c r="E156" i="2"/>
  <c r="E162" i="2"/>
  <c r="F162" i="2" s="1"/>
  <c r="E157" i="2"/>
  <c r="F157" i="2" s="1"/>
  <c r="F156" i="2" l="1"/>
  <c r="F164" i="2" s="1"/>
  <c r="E164" i="2"/>
</calcChain>
</file>

<file path=xl/sharedStrings.xml><?xml version="1.0" encoding="utf-8"?>
<sst xmlns="http://schemas.openxmlformats.org/spreadsheetml/2006/main" count="1133" uniqueCount="645">
  <si>
    <t>ПРАКТИЧЕСКАЯ РАБОТА № 1 — СВОДНЫЕ РЕЗУЛЬТАТЫ</t>
  </si>
  <si>
    <t>Определение количественных характеристик надежности по статистическим данным об отказах изделия</t>
  </si>
  <si>
    <t>Дисциплина: Надежность автоматизированных систем (НАС)  |  Преподаватель: Ризванов  |  Выполнил: Студент</t>
  </si>
  <si>
    <t>1. РЕЗУЛЬТАТЫ РЕШЕНИЯ ЗАДАЧ ДЛЯ САМОСТОЯТЕЛЬНОГО РЕШЕНИЯ (№ 6 – 15)</t>
  </si>
  <si>
    <t>№ задачи</t>
  </si>
  <si>
    <t>Краткое условие задачи</t>
  </si>
  <si>
    <t>Определяемые параметры</t>
  </si>
  <si>
    <t>Расчетная формула (математическая)</t>
  </si>
  <si>
    <t>Результат вычислений</t>
  </si>
  <si>
    <t>Ед. изм.</t>
  </si>
  <si>
    <t>Ссылка на лист решения</t>
  </si>
  <si>
    <t>Статус</t>
  </si>
  <si>
    <t>Задача 6</t>
  </si>
  <si>
    <t>N=100, за 4000 ч отказало 50, за 4000-4100 ч отказало 20</t>
  </si>
  <si>
    <t>f(4000)</t>
  </si>
  <si>
    <t>f = Δn/(N·Δt)</t>
  </si>
  <si>
    <t>1/ч</t>
  </si>
  <si>
    <t>Перейти к решению</t>
  </si>
  <si>
    <t>Решено</t>
  </si>
  <si>
    <t>Задача 6 (доп.)</t>
  </si>
  <si>
    <t>Та же задача, интенсивность отказов λ(4000)</t>
  </si>
  <si>
    <t>λ(4000)</t>
  </si>
  <si>
    <t>λ = Δn/(n(t)·Δt)</t>
  </si>
  <si>
    <t>Задача 7</t>
  </si>
  <si>
    <t>N=100, за 4000 ч отказало 50. Найти p(4000), q(4000)</t>
  </si>
  <si>
    <t>p(4000)</t>
  </si>
  <si>
    <t>p = n(t)/N</t>
  </si>
  <si>
    <t>—</t>
  </si>
  <si>
    <t>Задача 7 (доп.)</t>
  </si>
  <si>
    <t>Та же задача, вероятность отказа q(4000)</t>
  </si>
  <si>
    <t>q(4000)</t>
  </si>
  <si>
    <t>q = (N - n(t))/N = 1 - p</t>
  </si>
  <si>
    <t>Задача 8</t>
  </si>
  <si>
    <t>N=10 гироскопов, за 1000 ч отказало 2, за 1000-1100 ч еще 1</t>
  </si>
  <si>
    <t>f(1000)</t>
  </si>
  <si>
    <t>Задача 8 (доп.)</t>
  </si>
  <si>
    <t>Та же задача, интенсивность отказов λ(1000)</t>
  </si>
  <si>
    <t>λ(1000)</t>
  </si>
  <si>
    <t>Задача 9</t>
  </si>
  <si>
    <t>N=1000 ламп, за 3000 ч отказало 80, за 3000-4000 ч еще 50</t>
  </si>
  <si>
    <t>p = (N - Σn_отк)/N</t>
  </si>
  <si>
    <t>Задача 9 (доп.)</t>
  </si>
  <si>
    <t>q = Σn_отк/N = 1 - p</t>
  </si>
  <si>
    <t>Задача 10</t>
  </si>
  <si>
    <t>N=1000, t=1300: отк. 288; за 1300-1400: отк. 13</t>
  </si>
  <si>
    <t>p(1300)</t>
  </si>
  <si>
    <t>p(1300) = n(1300)/N</t>
  </si>
  <si>
    <t>Задача 10 (2)</t>
  </si>
  <si>
    <t>Та же задача, вероятность безотказной работы p(1400)</t>
  </si>
  <si>
    <t>p(1400)</t>
  </si>
  <si>
    <t>p(1400) = (n(1300)-Δn)/N</t>
  </si>
  <si>
    <t>Задача 10 (3)</t>
  </si>
  <si>
    <t>Та же задача, частота отказов f(1300)</t>
  </si>
  <si>
    <t>f(1300)</t>
  </si>
  <si>
    <t>Задача 10 (4)</t>
  </si>
  <si>
    <t>Та же задача, интенсивность отказов λ(1300)</t>
  </si>
  <si>
    <t>λ(1300)</t>
  </si>
  <si>
    <t>λ = Δn/(n(1300)·Δt)</t>
  </si>
  <si>
    <t>Задача 11</t>
  </si>
  <si>
    <t>N=45, t=60: отк. 35; за 60-65: отк. 3</t>
  </si>
  <si>
    <t>p(60)</t>
  </si>
  <si>
    <t>p(60) = n(60)/N</t>
  </si>
  <si>
    <t>Задача 11 (2)</t>
  </si>
  <si>
    <t>Та же задача, вероятность безотказной работы p(65)</t>
  </si>
  <si>
    <t>p(65)</t>
  </si>
  <si>
    <t>p(65) = (n(60)-Δn)/N</t>
  </si>
  <si>
    <t>Задача 11 (3)</t>
  </si>
  <si>
    <t>Та же задача, частота отказов f(60)</t>
  </si>
  <si>
    <t>f(60)</t>
  </si>
  <si>
    <t>Задача 11 (4)</t>
  </si>
  <si>
    <t>Та же задача, интенсивность отказов λ(60)</t>
  </si>
  <si>
    <t>λ(60)</t>
  </si>
  <si>
    <t>λ = Δn/(n(60)·Δt)</t>
  </si>
  <si>
    <t>Задача 12</t>
  </si>
  <si>
    <t>N=45 образцов РЭО (после 80 ч приработки), интервальные данные</t>
  </si>
  <si>
    <t>mt* (ср. наработка)</t>
  </si>
  <si>
    <t>mt* = Σ(ni·tср.i) / N</t>
  </si>
  <si>
    <t>ч</t>
  </si>
  <si>
    <t>Задача 13</t>
  </si>
  <si>
    <t>N=8 изделий: ti = {560, 700, 800, 650, 580, 760, 920, 850}</t>
  </si>
  <si>
    <t>mt* = Σti / N</t>
  </si>
  <si>
    <t>Задача 14</t>
  </si>
  <si>
    <t>N=6 отказов аппаратуры: ti = {15, 20, 10, 28, 22, 30} мин</t>
  </si>
  <si>
    <t>m_в (ср. время восст.)</t>
  </si>
  <si>
    <t>m_в = Σtв,i / N</t>
  </si>
  <si>
    <t>мин</t>
  </si>
  <si>
    <t>Задача 15</t>
  </si>
  <si>
    <t>N=1000, t=11000: отк. 410; за 11000-12000: отк. 40</t>
  </si>
  <si>
    <t>p(11000)</t>
  </si>
  <si>
    <t>p(11000) = n(11000)/N</t>
  </si>
  <si>
    <t>Задача 15 (2)</t>
  </si>
  <si>
    <t>Та же задача, вероятность безотказной работы p(12000)</t>
  </si>
  <si>
    <t>p(12000)</t>
  </si>
  <si>
    <t>p(12000) = (n(11000)-Δn)/N</t>
  </si>
  <si>
    <t>Задача 15 (3)</t>
  </si>
  <si>
    <t>Та же задача, частота отказов f(11000)</t>
  </si>
  <si>
    <t>f(11000)</t>
  </si>
  <si>
    <t>Задача 15 (4)</t>
  </si>
  <si>
    <t>Та же задача, интенсивность отказов λ(11000)</t>
  </si>
  <si>
    <t>λ(11000)</t>
  </si>
  <si>
    <t>λ = Δn/(n(11000)·Δt)</t>
  </si>
  <si>
    <t>2. РЕЗУЛЬТАТЫ РЕШЕНИЯ ТИПОВЫХ ЗАДАЧ ИЗ ПРЕЗЕНТАЦИИ (№ 1 – 5)</t>
  </si>
  <si>
    <t>Тема / Объект расчета</t>
  </si>
  <si>
    <t>Ключевые исходные данные</t>
  </si>
  <si>
    <t>Искомый параметр</t>
  </si>
  <si>
    <t>Сверка со слайдом</t>
  </si>
  <si>
    <t>Ссылка</t>
  </si>
  <si>
    <t>Задача 1</t>
  </si>
  <si>
    <t>Система из 3 блоков (экспоненц. закон)</t>
  </si>
  <si>
    <t>mt1=160, mt2=320, mt3=600 ч</t>
  </si>
  <si>
    <t>mtc (ср. время безотказной работы)</t>
  </si>
  <si>
    <t>90.57 ч ≈ 91 ч (Совпадает)</t>
  </si>
  <si>
    <t>Смотреть</t>
  </si>
  <si>
    <t>Задача 2</t>
  </si>
  <si>
    <t>Подшипники качения (N=1000)</t>
  </si>
  <si>
    <t>N=1000, t=3000 ч, отказов=80</t>
  </si>
  <si>
    <t>p(3000)</t>
  </si>
  <si>
    <t>p=0.92, q=0.08 (Совпадает)</t>
  </si>
  <si>
    <t>Задача 3</t>
  </si>
  <si>
    <t>Изделия (N=500)</t>
  </si>
  <si>
    <t>N=500, t=3000 ч, отк.=300; Δt=100, Δn=100</t>
  </si>
  <si>
    <t>p=0.4; 0.2; f=0.002; λ=0.005 (Совпадает)</t>
  </si>
  <si>
    <t>Задача 4</t>
  </si>
  <si>
    <t>Индивидуальные наработки 6 изделий</t>
  </si>
  <si>
    <t>ti = {280, 350, 400, 320, 380, 330} ч</t>
  </si>
  <si>
    <t>mt* (выборочное среднее)</t>
  </si>
  <si>
    <t>343.33 ч (Совпадает)</t>
  </si>
  <si>
    <t>Задача 5</t>
  </si>
  <si>
    <t>Группированные данные 45 образцов РЭО</t>
  </si>
  <si>
    <t>16 интервалов по 5 ч, N=45</t>
  </si>
  <si>
    <t>mt* (по интервальному ряду)</t>
  </si>
  <si>
    <t>31.72 ч ≈ 31.7 ч (Совпадает)</t>
  </si>
  <si>
    <t>ЗАДАЧИ ДЛЯ САМОСТОЯТЕЛЬНОГО РЕШЕНИЯ (№ 6 – 15)</t>
  </si>
  <si>
    <t>Практическая работа № 1. Определение количественных характеристик надежности по статистическим данным об отказах</t>
  </si>
  <si>
    <t>Все расчеты выполнены формулами Excel со ссылками на ячейки исходных данных</t>
  </si>
  <si>
    <t>ЗАДАЧА № 6. Расчет частоты отказов f(t) и интенсивности отказов λ(t) при t = 4000 ч</t>
  </si>
  <si>
    <t>Условие: На испытание поставлено 100 однотипных изделий. За 4000 часов отказало 50 изделий. За интервал времени 4000 – 4100 часов отказало еще 20 изделий. Требуется определить f(t), λ(t) при t = 4000 ч.</t>
  </si>
  <si>
    <t>Таблица 1. Исходные данные задачи</t>
  </si>
  <si>
    <t>Наименование параметра</t>
  </si>
  <si>
    <t>Обозначение</t>
  </si>
  <si>
    <t>Значение</t>
  </si>
  <si>
    <t>Пояснение</t>
  </si>
  <si>
    <t>Общее число изделий на испытании</t>
  </si>
  <si>
    <t>N</t>
  </si>
  <si>
    <t>шт.</t>
  </si>
  <si>
    <t>Количество испытываемых изделий</t>
  </si>
  <si>
    <t>Время наработки к началу интервала</t>
  </si>
  <si>
    <t>t</t>
  </si>
  <si>
    <t>Момент времени t = 4000 ч</t>
  </si>
  <si>
    <t>Число отказавших изделий к моменту t</t>
  </si>
  <si>
    <t>n_отк</t>
  </si>
  <si>
    <t>Число отказов за первые 4000 ч</t>
  </si>
  <si>
    <t>Время наработки к концу интервала</t>
  </si>
  <si>
    <t>t_след</t>
  </si>
  <si>
    <t>Конец интервала t + Δt</t>
  </si>
  <si>
    <t>Длина интервала времени</t>
  </si>
  <si>
    <t>dt</t>
  </si>
  <si>
    <t>Интервал Δt = 4100 - 4000 = 100 ч</t>
  </si>
  <si>
    <t>Число отказов в интервале (t, t+Δt)</t>
  </si>
  <si>
    <t>dn</t>
  </si>
  <si>
    <t>Отказы за интервал 4000-4100 ч</t>
  </si>
  <si>
    <t>Таблица 2. Расчет показателей надежности</t>
  </si>
  <si>
    <t>Определяемый показатель</t>
  </si>
  <si>
    <t>Математическая формула</t>
  </si>
  <si>
    <t>Значение (формула Excel)</t>
  </si>
  <si>
    <t>Пояснение к результату</t>
  </si>
  <si>
    <t>Число работоспособных к моменту t</t>
  </si>
  <si>
    <t>nt</t>
  </si>
  <si>
    <t>N - n_отк(t)</t>
  </si>
  <si>
    <t>n(4000) = 100 - 50 = 50 изделий</t>
  </si>
  <si>
    <t>Частота отказов</t>
  </si>
  <si>
    <t>f_4000</t>
  </si>
  <si>
    <t>Δn(t) / (N · Δt)</t>
  </si>
  <si>
    <t>f(4000) = 20 / (100 · 100) = 0.002 ч⁻¹</t>
  </si>
  <si>
    <t>Интенсивность отказов</t>
  </si>
  <si>
    <t>l_4000</t>
  </si>
  <si>
    <t>Δn(t) / (n(t) · Δt)</t>
  </si>
  <si>
    <t>λ(4000) = 20 / (50 · 100) = 0.004 ч⁻¹</t>
  </si>
  <si>
    <t>ВЫВОД / ОТВЕТ: При t = 4000 ч частота отказов f(4000) = 0,002 1/ч (2,0·10⁻³ ч⁻¹), интенсивность отказов λ(4000) = 0,004 1/ч (4,0·10⁻³ ч⁻¹).</t>
  </si>
  <si>
    <t>ЗАДАЧА № 7. Расчет вероятности безотказной работы p(t) и вероятности отказа q(t)</t>
  </si>
  <si>
    <t>Условие: На испытание поставлено 100 однотипных изделий. За 4000 часов отказало 50 изделий. Требуется определить p(t) и q(t) при t = 4000 ч.</t>
  </si>
  <si>
    <t>Число изделий, поставленных на испытания</t>
  </si>
  <si>
    <t>Время наработки</t>
  </si>
  <si>
    <t>Число изделий, отказавших за 4000 ч</t>
  </si>
  <si>
    <t>Число не отказавших изделий</t>
  </si>
  <si>
    <t>Вероятность безотказной работы</t>
  </si>
  <si>
    <t>p_4000</t>
  </si>
  <si>
    <t>n(t) / N</t>
  </si>
  <si>
    <t>p(4000) = 50 / 100 = 0.50 (50%)</t>
  </si>
  <si>
    <t>Вероятность отказа изделия</t>
  </si>
  <si>
    <t>q_4000</t>
  </si>
  <si>
    <t>(N - n(t)) / N = 1 - p(t)</t>
  </si>
  <si>
    <t>q(4000) = 50 / 100 = 0.50 (50%)</t>
  </si>
  <si>
    <t>ВЫВОД / ОТВЕТ: При наработке t = 4000 ч вероятность безотказной работы p(4000) = 0,50 (50%), вероятность отказа q(4000) = 0,50 (50%).</t>
  </si>
  <si>
    <t>ЗАДАЧА № 8. Расчет показателей надежности гироскопов: f(t) и λ(t) при t = 1000 ч</t>
  </si>
  <si>
    <t>Условие: В течение 1000 часов из 10 гироскопов отказало 2. За интервал времени 1000 – 1100 часов отказал еще один гироскоп. Требуется определить f(t), λ(t) при t = 1000 ч.</t>
  </si>
  <si>
    <t>Общее число гироскопов</t>
  </si>
  <si>
    <t>Число гироскопов на испытании</t>
  </si>
  <si>
    <t>Момент времени t = 1000 ч</t>
  </si>
  <si>
    <t>Число отказавших к моменту t</t>
  </si>
  <si>
    <t>Отказы за первые 1000 ч</t>
  </si>
  <si>
    <t>Конец интервала</t>
  </si>
  <si>
    <t>Интервал времени</t>
  </si>
  <si>
    <t>Δt = 1100 - 1000 = 100 ч</t>
  </si>
  <si>
    <t>Число отказов за интервал Δt</t>
  </si>
  <si>
    <t>Отказ за интервал 1000-1100 ч</t>
  </si>
  <si>
    <t>Число работоспособных гироскопов</t>
  </si>
  <si>
    <t>n(1000) = 10 - 2 = 8 гироскопов</t>
  </si>
  <si>
    <t>Частота отказов гироскопов</t>
  </si>
  <si>
    <t>f_1000</t>
  </si>
  <si>
    <t>f(1000) = 1 / (10 · 100) = 0.001 ч⁻¹</t>
  </si>
  <si>
    <t>Интенсивность отказов гироскопов</t>
  </si>
  <si>
    <t>l_1000</t>
  </si>
  <si>
    <t>λ(1000) = 1 / (8 · 100) = 0.00125 ч⁻¹</t>
  </si>
  <si>
    <t>ВЫВОД / ОТВЕТ: При t = 1000 ч: частота отказов f(1000) = 0,001 1/ч (1,0·10⁻³ ч⁻¹); интенсивность отказов λ(1000) = 0,00125 1/ч (1,25·10⁻³ ч⁻¹).</t>
  </si>
  <si>
    <t>ЗАДАЧА № 9. Расчет характеристик электронных ламп: p(t) и q(t) при t = 4000 ч</t>
  </si>
  <si>
    <t>Условие: На испытание поставлено 1000 однотипных электронных ламп. За первые 3000 часов отказало 80 ламп. За интервал времени 3000 – 4000 часов отказало еще 50 ламп. Требуется определить p(t) и q(t) при t = 4000 ч.</t>
  </si>
  <si>
    <t>Общее число ламп на испытании</t>
  </si>
  <si>
    <t>Партия испытуемых ламп</t>
  </si>
  <si>
    <t>Число отказавших за первые 3000 ч</t>
  </si>
  <si>
    <t>n_отк1</t>
  </si>
  <si>
    <t>Отказы за интервал 0 - 3000 ч</t>
  </si>
  <si>
    <t>Число отказавших в интервале 3000-4000 ч</t>
  </si>
  <si>
    <t>Дополнительные отказы</t>
  </si>
  <si>
    <t>Контрольный момент времени</t>
  </si>
  <si>
    <t>Суммарное число отказов к t=4000 ч</t>
  </si>
  <si>
    <t>n_tot_fail</t>
  </si>
  <si>
    <t>n_отк(3000) + Δn</t>
  </si>
  <si>
    <t>Всего отказало к 4000 ч: 80 + 50 = 130</t>
  </si>
  <si>
    <t>Число ламп, не отказавших к 4000 ч</t>
  </si>
  <si>
    <t>N - Σn_отк</t>
  </si>
  <si>
    <t>Работоспособно к 4000 ч: 1000 - 130 = 870</t>
  </si>
  <si>
    <t>n(4000) / N</t>
  </si>
  <si>
    <t>p(4000) = 870 / 1000 = 0.87 (87%)</t>
  </si>
  <si>
    <t>Вероятность отказа ламп</t>
  </si>
  <si>
    <t>Σn_отк / N = 1 - p(4000)</t>
  </si>
  <si>
    <t>q(4000) = 130 / 1000 = 0.13 (13%)</t>
  </si>
  <si>
    <t>ВЫВОД / ОТВЕТ: К моменту времени t = 4000 ч вероятность безотказной работы p(4000) = 0,87 (87%), вероятность отказа ламп q(4000) = 0,13 (13%).</t>
  </si>
  <si>
    <t>ЗАДАЧА № 10. Определение p(1300), p(1400), f(1300), λ(1300) для партии 1000 изделий</t>
  </si>
  <si>
    <t>Условие: На испытание поставлено 1000 изделий. За время t = 1300 ч. вышло из строя 288 изделий. За последующий интервал времени 1300 – 1400 часов вышло из строя еще 13 изделий. Необходимо вычислить p(t) при t = 1300 ч. и t = 1400 ч.; f(t), λ(t) при t = 1300 ч.</t>
  </si>
  <si>
    <t>Общее число изделий</t>
  </si>
  <si>
    <t>Число изделий на испытании</t>
  </si>
  <si>
    <t>Время наработки t1</t>
  </si>
  <si>
    <t>t1</t>
  </si>
  <si>
    <t>Момент первого замера</t>
  </si>
  <si>
    <t>Число отказов к моменту t1</t>
  </si>
  <si>
    <t>Отказы за первые 1300 ч</t>
  </si>
  <si>
    <t>Время наработки t2</t>
  </si>
  <si>
    <t>t2</t>
  </si>
  <si>
    <t>Момент второго замера</t>
  </si>
  <si>
    <t>Δt = 1400 - 1300 = 100 ч</t>
  </si>
  <si>
    <t>Число отказов в интервале (t1, t2)</t>
  </si>
  <si>
    <t>Отказы за интервал 1300-1400 ч</t>
  </si>
  <si>
    <t>Число работоспособных при t=1300 ч</t>
  </si>
  <si>
    <t>nt1</t>
  </si>
  <si>
    <t>N - n_отк(1300)</t>
  </si>
  <si>
    <t>n(1300) = 1000 - 288 = 712 шт.</t>
  </si>
  <si>
    <t>Число работоспособных при t=1400 ч</t>
  </si>
  <si>
    <t>nt2</t>
  </si>
  <si>
    <t>n(1300) - Δn</t>
  </si>
  <si>
    <t>n(1400) = 712 - 13 = 699 шт.</t>
  </si>
  <si>
    <t>Вероятность безотказной работы p(1300)</t>
  </si>
  <si>
    <t>p_1300</t>
  </si>
  <si>
    <t>n(1300) / N</t>
  </si>
  <si>
    <t>p(1300) = 712 / 1000 = 0.712 (71.2%)</t>
  </si>
  <si>
    <t>Вероятность безотказной работы p(1400)</t>
  </si>
  <si>
    <t>p_1400</t>
  </si>
  <si>
    <t>n(1400) / N</t>
  </si>
  <si>
    <t>p(1400) = 699 / 1000 = 0.699 (69.9%)</t>
  </si>
  <si>
    <t>Частота отказов f(1300)</t>
  </si>
  <si>
    <t>f_1300</t>
  </si>
  <si>
    <t>Δn / (N · Δt)</t>
  </si>
  <si>
    <t>f(1300) = 13 / (1000 · 100) = 0.00013 ч⁻¹</t>
  </si>
  <si>
    <t>Интенсивность отказов λ(1300)</t>
  </si>
  <si>
    <t>l_1300</t>
  </si>
  <si>
    <t>Δn / (n(1300) · Δt)</t>
  </si>
  <si>
    <t>λ(1300) = 13 / (712 · 100) ≈ 0.00018258 ч⁻¹</t>
  </si>
  <si>
    <t>ВЫВОД / ОТВЕТ: Результаты: p(1300) = 0,7120; p(1400) = 0,6990; f(1300) = 1,30·10⁻⁴ 1/ч (0,000130 ч⁻¹); λ(1300) = 1,83·10⁻⁴ 1/ч (0,000183 ч⁻¹).</t>
  </si>
  <si>
    <t>ЗАДАЧА № 11. Определение p(60), p(65), f(60), λ(60) для выборки из 45 изделий</t>
  </si>
  <si>
    <t>Условие: На испытание поставлено 45 изделий. За время t = 60 ч. вышло из строя 35 изделий. За последующий интервал времени 60 – 65 часов вышло из строя еще 3 изделия. Необходимо вычислить p(t) при t = 60 ч. и t = 65 ч.; f(t), λ(t) при t = 60 ч.</t>
  </si>
  <si>
    <t>Испытуемая группа изделий</t>
  </si>
  <si>
    <t>Начало интервала</t>
  </si>
  <si>
    <t>Отказы за первые 60 ч</t>
  </si>
  <si>
    <t>Δt = 65 - 60 = 5 ч</t>
  </si>
  <si>
    <t>Число отказов в интервале (60-65 ч)</t>
  </si>
  <si>
    <t>Отказы за 5 ч</t>
  </si>
  <si>
    <t>Число работоспособных при t=60 ч</t>
  </si>
  <si>
    <t>N - n_отк(60)</t>
  </si>
  <si>
    <t>n(60) = 45 - 35 = 10 шт.</t>
  </si>
  <si>
    <t>Число работоспособных при t=65 ч</t>
  </si>
  <si>
    <t>n(60) - Δn</t>
  </si>
  <si>
    <t>n(65) = 10 - 3 = 7 шт.</t>
  </si>
  <si>
    <t>Вероятность безотказной работы p(60)</t>
  </si>
  <si>
    <t>p_60</t>
  </si>
  <si>
    <t>n(60) / N</t>
  </si>
  <si>
    <t>p(60) = 10 / 45 ≈ 0.2222 (22.2%)</t>
  </si>
  <si>
    <t>Вероятность безотказной работы p(65)</t>
  </si>
  <si>
    <t>p_65</t>
  </si>
  <si>
    <t>n(65) / N</t>
  </si>
  <si>
    <t>p(65) = 7 / 45 ≈ 0.1556 (15.6%)</t>
  </si>
  <si>
    <t>Частота отказов f(60)</t>
  </si>
  <si>
    <t>f_60</t>
  </si>
  <si>
    <t>f(60) = 3 / (45 · 5) = 1/75 ≈ 0.013333 ч⁻¹</t>
  </si>
  <si>
    <t>Интенсивность отказов λ(60)</t>
  </si>
  <si>
    <t>l_60</t>
  </si>
  <si>
    <t>Δn / (n(60) · Δt)</t>
  </si>
  <si>
    <t>λ(60) = 3 / (10 · 5) = 0.060000 ч⁻¹</t>
  </si>
  <si>
    <t>ВЫВОД / ОТВЕТ: Результаты: p(60) = 0,2222; p(65) = 0,1556; f(60) = 0,013333 1/ч; λ(60) = 0,060000 1/ч (6,0·10⁻² ч⁻¹).</t>
  </si>
  <si>
    <t>ЗАДАЧА № 12. Расчет статистической оценки среднего времени безотказной работы mt* по сгруппированным данным</t>
  </si>
  <si>
    <t>Условие: В результате наблюдения за 45 образцами радиоэлектронного оборудования, которые прошли предварительную 80-часовую приработку, получены данные до первого отказа всех 45 образцов, сведенные в таблицу. Необходимо определить mt*.</t>
  </si>
  <si>
    <t>Таблица 1. Расчет характеристик по интервалам времени (Формула 1.6: mt* ≈ Σ(ni · tср.i) / N)</t>
  </si>
  <si>
    <t>№ интервала (i)</t>
  </si>
  <si>
    <t>Интервал времени Δti, ч</t>
  </si>
  <si>
    <t>Середина интервала tср.i, ч</t>
  </si>
  <si>
    <t>Число отказов ni, шт.</t>
  </si>
  <si>
    <t>Произведение (ni · tср.i), ч·шт</t>
  </si>
  <si>
    <t>0 - 10</t>
  </si>
  <si>
    <t>tср = (0+10)/2 = 5.0 ч</t>
  </si>
  <si>
    <t>10 - 20</t>
  </si>
  <si>
    <t>tср = (10+20)/2 = 15.0 ч</t>
  </si>
  <si>
    <t>20 - 30</t>
  </si>
  <si>
    <t>tср = (20+30)/2 = 25.0 ч</t>
  </si>
  <si>
    <t>30 - 40</t>
  </si>
  <si>
    <t>tср = (30+40)/2 = 35.0 ч</t>
  </si>
  <si>
    <t>40 - 50</t>
  </si>
  <si>
    <t>tср = (40+50)/2 = 45.0 ч</t>
  </si>
  <si>
    <t>50 - 60</t>
  </si>
  <si>
    <t>tср = (50+60)/2 = 55.0 ч</t>
  </si>
  <si>
    <t>60 - 70</t>
  </si>
  <si>
    <t>tср = (60+70)/2 = 65.0 ч</t>
  </si>
  <si>
    <t>ИТОГО (Сумма):</t>
  </si>
  <si>
    <t>N = 45 образцов; Σ(ni · tср.i) = 715 ч·шт</t>
  </si>
  <si>
    <t>Таблица 2. Итоговый расчет среднего времени безотказной работы</t>
  </si>
  <si>
    <t>Суммарное время наработки выборки</t>
  </si>
  <si>
    <t>Σ(ni·tср.i)</t>
  </si>
  <si>
    <t>ч·шт</t>
  </si>
  <si>
    <t>Числитель формулы (1.6)</t>
  </si>
  <si>
    <t>Общее число образцов (объем выборки)</t>
  </si>
  <si>
    <t>Знаменатель формулы (1.6)</t>
  </si>
  <si>
    <t>Среднее время безотказной работы (после приработки)</t>
  </si>
  <si>
    <t>mt*</t>
  </si>
  <si>
    <t>Σ(ni·tср.i) / N</t>
  </si>
  <si>
    <t>mt* = 715 / 45 ≈ 15.8889 ч</t>
  </si>
  <si>
    <t>Полное среднее время с учетом приработки (80 ч)</t>
  </si>
  <si>
    <t>T_полн*</t>
  </si>
  <si>
    <t>t_прир + mt*</t>
  </si>
  <si>
    <t>T = 80 + 15.89 = 95.89 ч</t>
  </si>
  <si>
    <t>ВЫВОД / ОТВЕТ: Статистическая оценка среднего времени безотказной работы образцов после приработки составляет mt* = 15,89 ч (суммарное с учетом 80 ч приработки — 95,89 ч).</t>
  </si>
  <si>
    <t>ЗАДАЧА № 13. Статистическая оценка среднего времени безотказной работы mt* и дисперсии Dt* по индивидуальным наработкам</t>
  </si>
  <si>
    <t>Условие: На испытание поставлено 8 однотипных изделий. Получены следующие значения (ti – время безотказной работы i-го изделия): t1 = 560 ч; t2 = 700 ч; t3 = 800 ч; t4 = 650 ч; t5 = 580 ч; t6 = 760 ч; t7 = 920 ч; t8 = 850 ч. Определить статистическую оценку среднего времени безотказной работы изделия.</t>
  </si>
  <si>
    <t>Таблица 1. Индивидуальные наработки изделий и квадраты отклонений</t>
  </si>
  <si>
    <t>№ изделия (i)</t>
  </si>
  <si>
    <t>Время безотказной работы ti, ч</t>
  </si>
  <si>
    <t>Отклонение (ti - mt*), ч</t>
  </si>
  <si>
    <t>Квадрат отклонения (ti - mt*)^2, ч^2</t>
  </si>
  <si>
    <t>Изделие № 1</t>
  </si>
  <si>
    <t>Изделие № 2</t>
  </si>
  <si>
    <t>t3</t>
  </si>
  <si>
    <t>Изделие № 3</t>
  </si>
  <si>
    <t>t4</t>
  </si>
  <si>
    <t>Изделие № 4</t>
  </si>
  <si>
    <t>t5</t>
  </si>
  <si>
    <t>Изделие № 5</t>
  </si>
  <si>
    <t>t6</t>
  </si>
  <si>
    <t>Изделие № 6</t>
  </si>
  <si>
    <t>t7</t>
  </si>
  <si>
    <t>Изделие № 7</t>
  </si>
  <si>
    <t>t8</t>
  </si>
  <si>
    <t>Изделие № 8</t>
  </si>
  <si>
    <t>ИТОГО (Сумма Σti):</t>
  </si>
  <si>
    <t>Σti = 5820 ч; сумма отклонений = 0</t>
  </si>
  <si>
    <t>Таблица 2. Статистические показатели надежности</t>
  </si>
  <si>
    <t>Общее число испытанных изделий</t>
  </si>
  <si>
    <t>Объем выборки N = 8</t>
  </si>
  <si>
    <t>Среднее время безотказной работы (Формула 1.5)</t>
  </si>
  <si>
    <t>Σti / N = AVERAGE(D156:D163)</t>
  </si>
  <si>
    <t>mt* = 5820 / 8 = 727.50 ч</t>
  </si>
  <si>
    <t>Дисперсия наработки (Формула 1.7)</t>
  </si>
  <si>
    <t>Dt*</t>
  </si>
  <si>
    <t>Σ(ti-mt)^2 / (N-1) = VAR.S(...)</t>
  </si>
  <si>
    <t>ч^2</t>
  </si>
  <si>
    <t>Выборочная дисперсия времени работы</t>
  </si>
  <si>
    <t>Среднеквадратическое отклонение (СКО)</t>
  </si>
  <si>
    <t>σt</t>
  </si>
  <si>
    <t>SQRT(Dt*) = STDEV.S(...)</t>
  </si>
  <si>
    <t>Стандартное отклонение наработки</t>
  </si>
  <si>
    <t>Коэффициент вариации</t>
  </si>
  <si>
    <t>V</t>
  </si>
  <si>
    <t>σt / mt*</t>
  </si>
  <si>
    <t>V = 127.70 / 727.50 ≈ 0.1755 (17.55%)</t>
  </si>
  <si>
    <t>ВЫВОД / ОТВЕТ: Статистическая оценка среднего времени безотказной работы mt* = 727,50 ч. Выборочная дисперсия Dt* = 16307,14 ч², СКО σt = 127,70 ч.</t>
  </si>
  <si>
    <t>ЗАДАЧА № 14. Расчет среднего времени восстановления аппаратуры mt (m_в)</t>
  </si>
  <si>
    <t>Условие: За наблюдаемый период эксплуатации в аппаратуре было зарегистрировано 6 отказов. Время восстановления составило: t1 = 15 мин.; t2 = 20 мин.; t3 = 10 мин.; t4 = 28 мин.; t5 = 22 мин.; t6 = 30 мин. Требуется определить среднее время восстановления аппаратуры mt.</t>
  </si>
  <si>
    <t>Таблица 1. Данные по времени восстановления при отказах</t>
  </si>
  <si>
    <t>№ отказа (i)</t>
  </si>
  <si>
    <t>Время восстановления tв.i, мин</t>
  </si>
  <si>
    <t>Время восстановления, ч</t>
  </si>
  <si>
    <t>Отказ № 1</t>
  </si>
  <si>
    <t>Отказ № 2</t>
  </si>
  <si>
    <t>Отказ № 3</t>
  </si>
  <si>
    <t>Отказ № 4</t>
  </si>
  <si>
    <t>Отказ № 5</t>
  </si>
  <si>
    <t>Отказ № 6</t>
  </si>
  <si>
    <t>ИТОГО (Суммарное время):</t>
  </si>
  <si>
    <t>Сумма времени восстановления: 125 мин (2.08 ч)</t>
  </si>
  <si>
    <t>Таблица 2. Расчет среднего времени восстановления</t>
  </si>
  <si>
    <t>Число зафиксированных отказов</t>
  </si>
  <si>
    <t>отказов</t>
  </si>
  <si>
    <t>Число ремонтов N = 6</t>
  </si>
  <si>
    <t>Среднее время восстановления (минуты)</t>
  </si>
  <si>
    <t>mt_мин</t>
  </si>
  <si>
    <t>Σtв.i / N = AVERAGE(D181:D186)</t>
  </si>
  <si>
    <t>m_в = 125 / 6 = 20.83 мин</t>
  </si>
  <si>
    <t>Среднее время восстановления (часы)</t>
  </si>
  <si>
    <t>mt_ч</t>
  </si>
  <si>
    <t>m_в(мин) / 60</t>
  </si>
  <si>
    <t>m_в = 20.83 / 60 ≈ 0.347 ч</t>
  </si>
  <si>
    <t>ВЫВОД / ОТВЕТ: Среднее время восстановления аппаратуры составляет mt (m_в) = 20,83 мин (или 0,347 ч).</t>
  </si>
  <si>
    <t>ЗАДАЧА № 15. Определение p(11000), p(12000), f(11000), λ(11000) для партии 1000 изделий</t>
  </si>
  <si>
    <t>Условие: На испытание поставлено 1000 изделий. За время t = 11000 ч. вышло из строя 410 изделий. За последующий интервал времени 11000 – 12000 часов вышло из строя еще 40 изделий. Необходимо вычислить p(t) при t = 11000 ч. и t = 12000 ч., а также f(t), λ(t) при t = 11000 ч.</t>
  </si>
  <si>
    <t>Испытуемая партия изделий</t>
  </si>
  <si>
    <t>Первая контрольная точка</t>
  </si>
  <si>
    <t>Отказы за 11000 ч</t>
  </si>
  <si>
    <t>Вторая контрольная точка</t>
  </si>
  <si>
    <t>Δt = 12000 - 11000 = 1000 ч</t>
  </si>
  <si>
    <t>Отказы за интервал 11000-12000 ч</t>
  </si>
  <si>
    <t>Число работоспособных при t=11000 ч</t>
  </si>
  <si>
    <t>N - n_отк(11000)</t>
  </si>
  <si>
    <t>n(11000) = 1000 - 410 = 590 шт.</t>
  </si>
  <si>
    <t>Число работоспособных при t=12000 ч</t>
  </si>
  <si>
    <t>n(11000) - Δn</t>
  </si>
  <si>
    <t>n(12000) = 590 - 40 = 550 шт.</t>
  </si>
  <si>
    <t>Вероятность безотказной работы p(11000)</t>
  </si>
  <si>
    <t>p_11000</t>
  </si>
  <si>
    <t>n(11000) / N</t>
  </si>
  <si>
    <t>p(11000) = 590 / 1000 = 0.5900 (59.0%)</t>
  </si>
  <si>
    <t>Вероятность безотказной работы p(12000)</t>
  </si>
  <si>
    <t>p_12000</t>
  </si>
  <si>
    <t>n(12000) / N</t>
  </si>
  <si>
    <t>p(12000) = 550 / 1000 = 0.5500 (55.0%)</t>
  </si>
  <si>
    <t>Частота отказов f(11000)</t>
  </si>
  <si>
    <t>f_11000</t>
  </si>
  <si>
    <t>f(11000) = 40 / (1000 · 1000) = 0.000040 ч⁻¹</t>
  </si>
  <si>
    <t>Интенсивность отказов λ(11000)</t>
  </si>
  <si>
    <t>l_11000</t>
  </si>
  <si>
    <t>Δn / (n(11000) · Δt)</t>
  </si>
  <si>
    <t>λ(11000) = 40 / (590 · 1000) ≈ 0.00006780 ч⁻¹</t>
  </si>
  <si>
    <t>ВЫВОД / ОТВЕТ: Результаты: p(11000) = 0,5900; p(12000) = 0,5500; f(11000) = 4,00·10⁻⁵ 1/ч (0,000040 ч⁻¹); λ(11000) = 6,78·10⁻⁵ 1/ч (0,000068 ч⁻¹).</t>
  </si>
  <si>
    <t>ТИПОВЫЕ ЗАДАЧИ С РЕШЕНИЕМ ИЗ ПРЕЗЕНТАЦИИ (№ 1 – 5)</t>
  </si>
  <si>
    <t>Практическая работа № 1. Примеры расчета показателей надежности с формулами Excel</t>
  </si>
  <si>
    <t>Полное соответствие слайдам 2-4 презентации лекций</t>
  </si>
  <si>
    <t>ЗАДАЧА № 1. Определение среднего времени безотказной работы системы из трех блоков</t>
  </si>
  <si>
    <t>Условие: Система состоит из трех блоков, среднее время безотказной работы которых равно: mt1 = 160 ч.; mt2 = 320 ч.; mt3 = 600 ч. Для блоков справедлив экспоненциальный закон надежности. Требуется определить среднее время безотказной работы системы mtc.</t>
  </si>
  <si>
    <t>Среднее время безотказной работы блока 1</t>
  </si>
  <si>
    <t>mt1</t>
  </si>
  <si>
    <t>Блок 1</t>
  </si>
  <si>
    <t>Среднее время безотказной работы блока 2</t>
  </si>
  <si>
    <t>mt2</t>
  </si>
  <si>
    <t>Блок 2</t>
  </si>
  <si>
    <t>Среднее время безотказной работы блока 3</t>
  </si>
  <si>
    <t>mt3</t>
  </si>
  <si>
    <t>Блок 3</t>
  </si>
  <si>
    <t>Интенсивность отказов блока 1</t>
  </si>
  <si>
    <t>l1</t>
  </si>
  <si>
    <t>1 / mt1</t>
  </si>
  <si>
    <t>λ1 = 1 / 160 = 0.00625 ч⁻¹</t>
  </si>
  <si>
    <t>Интенсивность отказов блока 2</t>
  </si>
  <si>
    <t>l2</t>
  </si>
  <si>
    <t>1 / mt2</t>
  </si>
  <si>
    <t>λ2 = 1 / 320 = 0.003125 ч⁻¹</t>
  </si>
  <si>
    <t>Интенсивность отказов блока 3</t>
  </si>
  <si>
    <t>l3</t>
  </si>
  <si>
    <t>1 / mt3</t>
  </si>
  <si>
    <t>λ3 = 1 / 600 ≈ 0.001667 ч⁻¹</t>
  </si>
  <si>
    <t>Интенсивность отказов системы</t>
  </si>
  <si>
    <t>lc</t>
  </si>
  <si>
    <t>λ1 + λ2 + λ3</t>
  </si>
  <si>
    <t>λc = 0.00625 + 0.003125 + 0.001667 ≈ 0.011042 ч⁻¹</t>
  </si>
  <si>
    <t>Среднее время безотказной работы системы</t>
  </si>
  <si>
    <t>mtc</t>
  </si>
  <si>
    <t>1 / λc</t>
  </si>
  <si>
    <t>mtc = 1 / 0.011042 ≈ 90.57 ч (в слайде округлено до 91 ч)</t>
  </si>
  <si>
    <t>ВЫВОД / ОТВЕТ: Среднее время безотказной работы системы: mtc = 90,57 ч ≈ 91 ч (интенсивность отказов системы λc = 0,011 1/ч).</t>
  </si>
  <si>
    <t>ЗАДАЧА № 2. Определение p(t) и q(t) для 1000 подшипников качения при t = 3000 ч</t>
  </si>
  <si>
    <t>Условие: На испытание поставлено 1000 однотипных подшипников качения; за 3000 ч отказало 80 подшипников. Требуется определить p(t), q(t) при t = 3000 ч.</t>
  </si>
  <si>
    <t>Число подшипников на испытании</t>
  </si>
  <si>
    <t>Объем партии</t>
  </si>
  <si>
    <t>Время испытания</t>
  </si>
  <si>
    <t>Момент времени 3000 ч</t>
  </si>
  <si>
    <t>Число отказавших подшипников</t>
  </si>
  <si>
    <t>Отказы за 3000 ч</t>
  </si>
  <si>
    <t>Число не отказавших подшипников</t>
  </si>
  <si>
    <t>n(3000) = 1000 - 80 = 920 шт.</t>
  </si>
  <si>
    <t>p_3000</t>
  </si>
  <si>
    <t>p(3000) = 920 / 1000 = 0.92 (92%)</t>
  </si>
  <si>
    <t>Вероятность отказа подшипников</t>
  </si>
  <si>
    <t>q_3000</t>
  </si>
  <si>
    <t>(N - n(t)) / N = 1 - p</t>
  </si>
  <si>
    <t>q(3000) = 80 / 1000 = 0.08 (8%)</t>
  </si>
  <si>
    <t>ВЫВОД / ОТВЕТ: При t = 3000 ч вероятность безотказной работы p(3000) = 0,92 (92%), вероятность отказа q(3000) = 0,08 (8%).</t>
  </si>
  <si>
    <t>ЗАДАЧА № 3. Определение p(3000), p(3100), f(3000), λ(3000) для 500 изделий</t>
  </si>
  <si>
    <t>Условие: На испытание поставлено 500 изделий. За время 3000 ч отказало 300 изделий, т.е. n(t) = 500 - 300 = 200. За интервал времени (t, t+Δt), где Δt = 100 ч, отказало еще 100 изделий, т.е. Δn(t) = 100. Требуется определить p(3000), p(3100), f(3000), λ(3000).</t>
  </si>
  <si>
    <t>Партия изделий</t>
  </si>
  <si>
    <t>Время первой наработки</t>
  </si>
  <si>
    <t>Момент t = 3000 ч</t>
  </si>
  <si>
    <t>Отказы за первые 3000 ч</t>
  </si>
  <si>
    <t>Δt = 100 ч (до 3100 ч)</t>
  </si>
  <si>
    <t>Число отказов в интервале Δt</t>
  </si>
  <si>
    <t>Отказы за 100 ч</t>
  </si>
  <si>
    <t>Число работоспособных к 3000 ч</t>
  </si>
  <si>
    <t>N - n_отк(3000)</t>
  </si>
  <si>
    <t>n(3000) = 500 - 300 = 200 шт.</t>
  </si>
  <si>
    <t>Число работоспособных к 3100 ч</t>
  </si>
  <si>
    <t>n(3000) - Δn</t>
  </si>
  <si>
    <t>n(3100) = 200 - 100 = 100 шт.</t>
  </si>
  <si>
    <t>Вероятность безотказной работы p(3000)</t>
  </si>
  <si>
    <t>n(3000) / N</t>
  </si>
  <si>
    <t>p(3000) = 200 / 500 = 0.40 (40%)</t>
  </si>
  <si>
    <t>Вероятность безотказной работы p(3100)</t>
  </si>
  <si>
    <t>p_3100</t>
  </si>
  <si>
    <t>n(3100) / N</t>
  </si>
  <si>
    <t>p(3100) = 100 / 500 = 0.20 (20%)</t>
  </si>
  <si>
    <t>Частота отказов f(3000)</t>
  </si>
  <si>
    <t>f_3000</t>
  </si>
  <si>
    <t>f(3000) = 100 / (500 · 100) = 0.002 ч⁻¹</t>
  </si>
  <si>
    <t>Интенсивность отказов λ(3000)</t>
  </si>
  <si>
    <t>l_3000</t>
  </si>
  <si>
    <t>Δn / (n(3000) · Δt)</t>
  </si>
  <si>
    <t>λ(3000) = 100 / (200 · 100) = 0.005 ч⁻¹</t>
  </si>
  <si>
    <t>ВЫВОД / ОТВЕТ: Результаты: p(3000) = 0,40; p(3100) = 0,20; f(3000) = 0,002 1/ч; λ(3000) = 0,005 1/ч.</t>
  </si>
  <si>
    <t>ЗАДАЧА № 4. Статистическая оценка среднего времени безотказной работы mt* по выборке из 6 изделий</t>
  </si>
  <si>
    <t>Условие: На испытание поставлено шесть однотипных изделий. Получены следующие значения ti (время безотказной работы i-го изделия): t1 = 280 ч; t2 = 350 ч; t3 = 400 ч; t4 = 320 ч; t5 = 380 ч; t6 = 330 ч. Определить статистическую оценку среднего времени безотказной работы изделия.</t>
  </si>
  <si>
    <t>Таблица 1. Значения наработок изделий до отказа</t>
  </si>
  <si>
    <t>Время работы ti, ч</t>
  </si>
  <si>
    <t>Суммарная наработка 6 изделий = 2060 ч</t>
  </si>
  <si>
    <t>Таблица 2. Расчет среднего времени mt* по формуле (1.5)</t>
  </si>
  <si>
    <t>Объем выборки N = 6</t>
  </si>
  <si>
    <t>Суммарная наработка всех изделий</t>
  </si>
  <si>
    <t>Σti</t>
  </si>
  <si>
    <t>Σti = 2060 ч</t>
  </si>
  <si>
    <t>Среднее время безотказной работы</t>
  </si>
  <si>
    <t>Σti / N = AVERAGE(D69:D74)</t>
  </si>
  <si>
    <t>mt* = 2060 / 6 ≈ 343.33 ч</t>
  </si>
  <si>
    <t>ВЫВОД / ОТВЕТ: Статистическая оценка среднего времени безотказной работы изделия: mt* = 343,33 ч.</t>
  </si>
  <si>
    <t>ЗАДАЧА № 5. Расчет mt* по данным испытаний 45 образцов радиоэлектронного оборудования (16 интервалов)</t>
  </si>
  <si>
    <t>Условие: В результате наблюдения за 45 образцами радиоэлектронного оборудования получены данные до первого отказа всех 45 образцов, сведенные в таблицу. Требуется определить mt*.</t>
  </si>
  <si>
    <t>Таблица 1. Интервальный вариационный ряд наработок до первого отказа</t>
  </si>
  <si>
    <t>0 - 5</t>
  </si>
  <si>
    <t>tср = (0+5)/2 = 2.5 ч</t>
  </si>
  <si>
    <t>5 - 10</t>
  </si>
  <si>
    <t>tср = (5+10)/2 = 7.5 ч</t>
  </si>
  <si>
    <t>10 - 15</t>
  </si>
  <si>
    <t>tср = (10+15)/2 = 12.5 ч</t>
  </si>
  <si>
    <t>15 - 20</t>
  </si>
  <si>
    <t>tср = (15+20)/2 = 17.5 ч</t>
  </si>
  <si>
    <t>20 - 25</t>
  </si>
  <si>
    <t>tср = (20+25)/2 = 22.5 ч</t>
  </si>
  <si>
    <t>25 - 30</t>
  </si>
  <si>
    <t>tср = (25+30)/2 = 27.5 ч</t>
  </si>
  <si>
    <t>30 - 35</t>
  </si>
  <si>
    <t>tср = (30+35)/2 = 32.5 ч</t>
  </si>
  <si>
    <t>35 - 40</t>
  </si>
  <si>
    <t>tср = (35+40)/2 = 37.5 ч</t>
  </si>
  <si>
    <t>40 - 45</t>
  </si>
  <si>
    <t>tср = (40+45)/2 = 42.5 ч</t>
  </si>
  <si>
    <t>45 - 50</t>
  </si>
  <si>
    <t>tср = (45+50)/2 = 47.5 ч</t>
  </si>
  <si>
    <t>50 - 55</t>
  </si>
  <si>
    <t>tср = (50+55)/2 = 52.5 ч</t>
  </si>
  <si>
    <t>55 - 60</t>
  </si>
  <si>
    <t>tср = (55+60)/2 = 57.5 ч</t>
  </si>
  <si>
    <t>60 - 65</t>
  </si>
  <si>
    <t>tср = (60+65)/2 = 62.5 ч</t>
  </si>
  <si>
    <t>65 - 70</t>
  </si>
  <si>
    <t>tср = (65+70)/2 = 67.5 ч</t>
  </si>
  <si>
    <t>70 - 75</t>
  </si>
  <si>
    <t>tср = (70+75)/2 = 72.5 ч</t>
  </si>
  <si>
    <t>75 - 80</t>
  </si>
  <si>
    <t>tср = (75+80)/2 = 77.5 ч</t>
  </si>
  <si>
    <t>N = 45; Σ(ni · tср.i) = 1427.5 ч·шт</t>
  </si>
  <si>
    <t>Таблица 2. Расчет среднего времени безотказной работы по формуле (1.6)</t>
  </si>
  <si>
    <t>Сумма произведений Σ(ni · tср.i)</t>
  </si>
  <si>
    <t>Суммарная наработка выборки</t>
  </si>
  <si>
    <t>Объем выборки изделий</t>
  </si>
  <si>
    <t>Количество вышедших из строя изделий</t>
  </si>
  <si>
    <t>mt* = 1427.5 / 45 ≈ 31.72 ч (в слайде 31.7 ч)</t>
  </si>
  <si>
    <t>ВЫВОД / ОТВЕТ: Статистическая оценка среднего времени безотказной работы образцов: mt* = 31,72 ч ≈ 31,7 ч.</t>
  </si>
  <si>
    <t>ТЕОРЕТИЧЕСКИЙ СПРАВОЧНИК — ХАРАКТЕРИСТИКИ НАДЕЖНОСТИ</t>
  </si>
  <si>
    <t>Основные формулы и определения статистической теории надежности (по ГОСТ 27.002 и материалам темы 1)</t>
  </si>
  <si>
    <t>Определения, обозначения, математические формулы и физический смысл</t>
  </si>
  <si>
    <t>СВОДНАЯ ТАБЛИЦА СТАТИСТИЧЕСКИХ ОЦЕНОК НАДЕЖНОСТИ</t>
  </si>
  <si>
    <t>Показатель надежности</t>
  </si>
  <si>
    <t>Номер формулы</t>
  </si>
  <si>
    <t>Физический смысл и примечание</t>
  </si>
  <si>
    <t>p(t)</t>
  </si>
  <si>
    <t>p(t) = n(t) / N</t>
  </si>
  <si>
    <t>(1.1)</t>
  </si>
  <si>
    <t>— (безразм.)</t>
  </si>
  <si>
    <t>Вероятность того, что в пределах заданной наработки t отказ объекта не возникнет.</t>
  </si>
  <si>
    <t>Вероятность отказа</t>
  </si>
  <si>
    <t>q(t)</t>
  </si>
  <si>
    <t>q(t) = [N - n(t)] / N = 1 - p(t)</t>
  </si>
  <si>
    <t>(1.2)</t>
  </si>
  <si>
    <t>Вероятность того, что изделие откажет хотя бы один раз к моменту времени t.</t>
  </si>
  <si>
    <t>Частота отказов (плотность распределения)</t>
  </si>
  <si>
    <t>f(t)</t>
  </si>
  <si>
    <t>f(t) = Δn(t) / (N · Δt)</t>
  </si>
  <si>
    <t>(1.3)</t>
  </si>
  <si>
    <t>1/ч (ч⁻¹)</t>
  </si>
  <si>
    <t>Отношение числа отказавших изделий на участке (t, t+Δt) к произведению N на Δt.</t>
  </si>
  <si>
    <t>λ(t)</t>
  </si>
  <si>
    <t>λ(t) = Δn(t) / [n(t) · Δt]</t>
  </si>
  <si>
    <t>(1.4)</t>
  </si>
  <si>
    <t>Условная плотность вероятности возникновения отказа для объекта, дошедшего работоспособным до момента t.</t>
  </si>
  <si>
    <t>Среднее время безотказной работы (индивидуальное)</t>
  </si>
  <si>
    <t>mt* = (1 / N) · Σ ti</t>
  </si>
  <si>
    <t>(1.5)</t>
  </si>
  <si>
    <t>ч, мин, с</t>
  </si>
  <si>
    <t>Математическое ожидание наработки изделия до первого отказа при известных моментах отказа всех N изделий.</t>
  </si>
  <si>
    <t>Среднее время безотказной работы (группированное)</t>
  </si>
  <si>
    <t>mt* ≈ (1 / N) · Σ (ni · tср.i)</t>
  </si>
  <si>
    <t>(1.6)</t>
  </si>
  <si>
    <t>Оценка наработки по интервальному ряду, где tср.i = (ti-1 + ti)/2 — середина i-го интервала.</t>
  </si>
  <si>
    <t>Выборочная дисперсия времени безотказной работы</t>
  </si>
  <si>
    <t>Dt* = [1 / (N - 1)] · Σ (ti - mt*)^2</t>
  </si>
  <si>
    <t>(1.7)</t>
  </si>
  <si>
    <t>ч², с²</t>
  </si>
  <si>
    <t>Характеризует рассеяние (разброс) времени безотказной работы изделий относительно среднего mt*.</t>
  </si>
  <si>
    <t>Среднее квадратическое отклонение (СКО)</t>
  </si>
  <si>
    <t>σt = SQRT(Dt*)</t>
  </si>
  <si>
    <t>Абсолютная мера разброса наработок до отказа в тех же единицах измерения, что и наработка.</t>
  </si>
  <si>
    <t>Среднее время восстановления</t>
  </si>
  <si>
    <t>m_в (mt)</t>
  </si>
  <si>
    <t>m_в = (1 / N) · Σ tв.i</t>
  </si>
  <si>
    <t>мин, ч</t>
  </si>
  <si>
    <t>Математическое ожидание времени восстановления работоспособного состояния объекта после отказа.</t>
  </si>
  <si>
    <t>ОСНОВНЫЕ СООТНОШЕНИЯ МЕЖДУ ПОКАЗАТЕЛЯМИ НАДЕЖНОСТИ</t>
  </si>
  <si>
    <t>Связь вероятности безотказной работы и вероятности отказа:</t>
  </si>
  <si>
    <t>p(t) + q(t) = 1  &lt;=&gt;  p(t) = 1 - q(t)  &lt;=&gt;  q(t) = 1 - p(t)</t>
  </si>
  <si>
    <t>Связь интенсивности отказов и частоты отказов:</t>
  </si>
  <si>
    <t>λ(t) = f(t) / p(t)  &lt;=&gt;  f(t) = λ(t) · p(t)</t>
  </si>
  <si>
    <t>Для экспоненциального закона распределения (λ = const):</t>
  </si>
  <si>
    <t>p(t) = exp(-λ · t);   f(t) = λ · exp(-λ · t);   mt = 1 / λ</t>
  </si>
  <si>
    <t>Для последовательного соединения независимых блоков по надежности:</t>
  </si>
  <si>
    <t>λ_сист = Σ λ_i;   mt_сист = 1 / λ_сист = 1 / (Σ (1 / mt_i))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</si>
</sst>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####"/>
    <numFmt numFmtId="165" formatCode="0.00000"/>
    <numFmt numFmtId="166" formatCode="0.0000"/>
    <numFmt numFmtId="167" formatCode="0.000000"/>
    <numFmt numFmtId="168" formatCode="0.0"/>
    <numFmt numFmtId="169" formatCode="#,##0.0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  <charset val="204"/>
    </font>
    <font>
      <i/>
      <sz val="11"/>
      <color rgb="FFFFFFFF"/>
      <name val="Segoe UI"/>
      <family val="2"/>
      <charset val="204"/>
    </font>
    <font>
      <sz val="10"/>
      <color rgb="FFE0E0E0"/>
      <name val="Segoe UI"/>
      <family val="2"/>
      <charset val="204"/>
    </font>
    <font>
      <b/>
      <sz val="11"/>
      <color rgb="FFFFFFFF"/>
      <name val="Segoe UI"/>
      <family val="2"/>
      <charset val="204"/>
    </font>
    <font>
      <i/>
      <sz val="9"/>
      <color rgb="FF595959"/>
      <name val="Segoe UI"/>
      <family val="2"/>
      <charset val="204"/>
    </font>
    <font>
      <b/>
      <sz val="11"/>
      <color rgb="FF1B365D"/>
      <name val="Segoe UI"/>
      <family val="2"/>
      <charset val="204"/>
    </font>
    <font>
      <b/>
      <sz val="10"/>
      <color rgb="FFFFFFFF"/>
      <name val="Segoe UI"/>
      <family val="2"/>
      <charset val="204"/>
    </font>
    <font>
      <sz val="10"/>
      <color rgb="FF262626"/>
      <name val="Segoe UI"/>
      <family val="2"/>
      <charset val="204"/>
    </font>
    <font>
      <b/>
      <sz val="10"/>
      <color rgb="FF262626"/>
      <name val="Segoe UI"/>
      <family val="2"/>
      <charset val="204"/>
    </font>
    <font>
      <i/>
      <sz val="10"/>
      <color rgb="FF1F4E78"/>
      <name val="Segoe UI"/>
      <family val="2"/>
      <charset val="204"/>
    </font>
    <font>
      <b/>
      <sz val="11"/>
      <color rgb="FF1E4620"/>
      <name val="Segoe UI"/>
      <family val="2"/>
      <charset val="204"/>
    </font>
    <font>
      <b/>
      <sz val="12"/>
      <color rgb="FF1B365D"/>
      <name val="Segoe UI"/>
      <family val="2"/>
      <charset val="204"/>
    </font>
    <font>
      <u/>
      <sz val="9"/>
      <color rgb="FF1F4E78"/>
      <name val="Segoe UI"/>
      <family val="2"/>
      <charset val="204"/>
    </font>
    <font>
      <b/>
      <sz val="10"/>
      <color rgb="FF1E4620"/>
      <name val="Segoe U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F5597"/>
        <bgColor rgb="FF2F5597"/>
      </patternFill>
    </fill>
    <fill>
      <patternFill patternType="solid">
        <fgColor rgb="FFF2F4F8"/>
        <bgColor rgb="FFF2F4F8"/>
      </patternFill>
    </fill>
    <fill>
      <patternFill patternType="solid">
        <fgColor rgb="FF335E99"/>
        <bgColor rgb="FF335E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 style="medium">
        <color rgb="FF385723"/>
      </top>
      <bottom style="medium">
        <color rgb="FF38572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2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165" fontId="11" fillId="6" borderId="2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6" fontId="11" fillId="6" borderId="2" xfId="0" applyNumberFormat="1" applyFont="1" applyFill="1" applyBorder="1" applyAlignment="1">
      <alignment horizontal="right" vertical="center"/>
    </xf>
    <xf numFmtId="167" fontId="11" fillId="6" borderId="2" xfId="0" applyNumberFormat="1" applyFont="1" applyFill="1" applyBorder="1" applyAlignment="1">
      <alignment horizontal="right" vertical="center"/>
    </xf>
    <xf numFmtId="2" fontId="11" fillId="6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" fontId="11" fillId="6" borderId="2" xfId="0" applyNumberFormat="1" applyFont="1" applyFill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3" fontId="9" fillId="8" borderId="4" xfId="0" applyNumberFormat="1" applyFont="1" applyFill="1" applyBorder="1" applyAlignment="1">
      <alignment horizontal="right" vertical="center"/>
    </xf>
    <xf numFmtId="169" fontId="9" fillId="8" borderId="4" xfId="0" applyNumberFormat="1" applyFont="1" applyFill="1" applyBorder="1" applyAlignment="1">
      <alignment horizontal="right" vertical="center"/>
    </xf>
    <xf numFmtId="0" fontId="5" fillId="8" borderId="4" xfId="0" applyFont="1" applyFill="1" applyBorder="1" applyAlignment="1">
      <alignment horizontal="left" vertical="center"/>
    </xf>
    <xf numFmtId="169" fontId="11" fillId="6" borderId="2" xfId="0" applyNumberFormat="1" applyFont="1" applyFill="1" applyBorder="1" applyAlignment="1">
      <alignment horizontal="right" vertical="center"/>
    </xf>
    <xf numFmtId="3" fontId="11" fillId="6" borderId="2" xfId="0" applyNumberFormat="1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2" fontId="5" fillId="8" borderId="4" xfId="0" applyNumberFormat="1" applyFont="1" applyFill="1" applyBorder="1" applyAlignment="1">
      <alignment horizontal="right" vertical="center"/>
    </xf>
    <xf numFmtId="4" fontId="9" fillId="8" borderId="4" xfId="0" applyNumberFormat="1" applyFont="1" applyFill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" fontId="9" fillId="8" borderId="4" xfId="0" applyNumberFormat="1" applyFont="1" applyFill="1" applyBorder="1" applyAlignment="1">
      <alignment horizontal="right" vertical="center"/>
    </xf>
    <xf numFmtId="2" fontId="9" fillId="8" borderId="4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0" fillId="4" borderId="0" xfId="0" applyFill="1"/>
    <xf numFmtId="0" fontId="4" fillId="2" borderId="0" xfId="0" applyFont="1" applyFill="1"/>
    <xf numFmtId="0" fontId="9" fillId="7" borderId="3" xfId="0" applyFont="1" applyFill="1" applyBorder="1" applyAlignment="1">
      <alignment horizontal="left" vertical="center"/>
    </xf>
    <xf numFmtId="0" fontId="0" fillId="7" borderId="3" xfId="0" applyFill="1" applyBorder="1"/>
    <xf numFmtId="0" fontId="4" fillId="2" borderId="0" xfId="0" applyFont="1" applyFill="1" applyAlignment="1">
      <alignment horizontal="left" vertical="center"/>
    </xf>
    <xf numFmtId="0" fontId="9" fillId="8" borderId="4" xfId="0" applyFont="1" applyFill="1" applyBorder="1" applyAlignment="1">
      <alignment horizontal="right" vertical="center"/>
    </xf>
    <xf numFmtId="0" fontId="0" fillId="8" borderId="4" xfId="0" applyFill="1" applyBorder="1"/>
    <xf numFmtId="0" fontId="10" fillId="4" borderId="1" xfId="0" applyFont="1" applyFill="1" applyBorder="1" applyAlignment="1">
      <alignment horizontal="left" vertical="center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9"/>
  <sheetViews>
    <sheetView tabSelected="1" topLeftCell="A25" workbookViewId="0"/>
  </sheetViews>
  <sheetFormatPr defaultRowHeight="14.5" x14ac:dyDescent="0.35"/>
  <cols>
    <col min="1" max="1" width="4" customWidth="1"/>
    <col min="2" max="2" width="18" customWidth="1"/>
    <col min="3" max="3" width="44" customWidth="1"/>
    <col min="4" max="4" width="26" customWidth="1"/>
    <col min="5" max="5" width="36" customWidth="1"/>
    <col min="6" max="6" width="22" customWidth="1"/>
    <col min="7" max="7" width="10" customWidth="1"/>
    <col min="8" max="8" width="22" customWidth="1"/>
    <col min="9" max="9" width="12" customWidth="1"/>
  </cols>
  <sheetData>
    <row r="2" spans="2:9" ht="30" customHeight="1" x14ac:dyDescent="0.35">
      <c r="B2" s="52" t="s">
        <v>0</v>
      </c>
      <c r="C2" s="53"/>
      <c r="D2" s="53"/>
      <c r="E2" s="53"/>
      <c r="F2" s="53"/>
      <c r="G2" s="53"/>
      <c r="H2" s="53"/>
    </row>
    <row r="3" spans="2:9" ht="24" customHeight="1" x14ac:dyDescent="0.35">
      <c r="B3" s="50" t="s">
        <v>1</v>
      </c>
      <c r="C3" s="51"/>
      <c r="D3" s="51"/>
      <c r="E3" s="51"/>
      <c r="F3" s="51"/>
      <c r="G3" s="51"/>
      <c r="H3" s="51"/>
    </row>
    <row r="4" spans="2:9" ht="20" customHeight="1" x14ac:dyDescent="0.35">
      <c r="B4" s="54" t="s">
        <v>2</v>
      </c>
      <c r="C4" s="51"/>
      <c r="D4" s="51"/>
      <c r="E4" s="51"/>
      <c r="F4" s="51"/>
      <c r="G4" s="51"/>
      <c r="H4" s="51"/>
    </row>
    <row r="6" spans="2:9" ht="25" customHeight="1" x14ac:dyDescent="0.45">
      <c r="B6" s="1" t="s">
        <v>3</v>
      </c>
    </row>
    <row r="7" spans="2:9" ht="28" customHeight="1" x14ac:dyDescent="0.35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</row>
    <row r="8" spans="2:9" ht="21" customHeight="1" x14ac:dyDescent="0.35">
      <c r="B8" s="3" t="s">
        <v>12</v>
      </c>
      <c r="C8" s="4" t="s">
        <v>13</v>
      </c>
      <c r="D8" s="3" t="s">
        <v>14</v>
      </c>
      <c r="E8" s="5" t="s">
        <v>15</v>
      </c>
      <c r="F8" s="6">
        <f>'Задачи 6-15'!E21</f>
        <v>2E-3</v>
      </c>
      <c r="G8" s="7" t="s">
        <v>16</v>
      </c>
      <c r="H8" s="8" t="s">
        <v>17</v>
      </c>
      <c r="I8" s="9" t="s">
        <v>18</v>
      </c>
    </row>
    <row r="9" spans="2:9" ht="21" customHeight="1" x14ac:dyDescent="0.35">
      <c r="B9" s="10" t="s">
        <v>19</v>
      </c>
      <c r="C9" s="11" t="s">
        <v>20</v>
      </c>
      <c r="D9" s="10" t="s">
        <v>21</v>
      </c>
      <c r="E9" s="12" t="s">
        <v>22</v>
      </c>
      <c r="F9" s="6">
        <f>'Задачи 6-15'!E22</f>
        <v>4.0000000000000001E-3</v>
      </c>
      <c r="G9" s="13" t="s">
        <v>16</v>
      </c>
      <c r="H9" s="14" t="s">
        <v>17</v>
      </c>
      <c r="I9" s="15" t="s">
        <v>18</v>
      </c>
    </row>
    <row r="10" spans="2:9" ht="21" customHeight="1" x14ac:dyDescent="0.35">
      <c r="B10" s="3" t="s">
        <v>23</v>
      </c>
      <c r="C10" s="4" t="s">
        <v>24</v>
      </c>
      <c r="D10" s="3" t="s">
        <v>25</v>
      </c>
      <c r="E10" s="5" t="s">
        <v>26</v>
      </c>
      <c r="F10" s="16">
        <f>'Задачи 6-15'!E38</f>
        <v>0.5</v>
      </c>
      <c r="G10" s="7" t="s">
        <v>27</v>
      </c>
      <c r="H10" s="8" t="s">
        <v>17</v>
      </c>
      <c r="I10" s="9" t="s">
        <v>18</v>
      </c>
    </row>
    <row r="11" spans="2:9" ht="21" customHeight="1" x14ac:dyDescent="0.35">
      <c r="B11" s="10" t="s">
        <v>28</v>
      </c>
      <c r="C11" s="11" t="s">
        <v>29</v>
      </c>
      <c r="D11" s="10" t="s">
        <v>30</v>
      </c>
      <c r="E11" s="12" t="s">
        <v>31</v>
      </c>
      <c r="F11" s="16">
        <f>'Задачи 6-15'!E39</f>
        <v>0.5</v>
      </c>
      <c r="G11" s="13" t="s">
        <v>27</v>
      </c>
      <c r="H11" s="14" t="s">
        <v>17</v>
      </c>
      <c r="I11" s="15" t="s">
        <v>18</v>
      </c>
    </row>
    <row r="12" spans="2:9" ht="21" customHeight="1" x14ac:dyDescent="0.35">
      <c r="B12" s="3" t="s">
        <v>32</v>
      </c>
      <c r="C12" s="4" t="s">
        <v>33</v>
      </c>
      <c r="D12" s="3" t="s">
        <v>34</v>
      </c>
      <c r="E12" s="5" t="s">
        <v>15</v>
      </c>
      <c r="F12" s="6">
        <f>'Задачи 6-15'!E58</f>
        <v>1E-3</v>
      </c>
      <c r="G12" s="7" t="s">
        <v>16</v>
      </c>
      <c r="H12" s="8" t="s">
        <v>17</v>
      </c>
      <c r="I12" s="9" t="s">
        <v>18</v>
      </c>
    </row>
    <row r="13" spans="2:9" ht="21" customHeight="1" x14ac:dyDescent="0.35">
      <c r="B13" s="10" t="s">
        <v>35</v>
      </c>
      <c r="C13" s="11" t="s">
        <v>36</v>
      </c>
      <c r="D13" s="10" t="s">
        <v>37</v>
      </c>
      <c r="E13" s="12" t="s">
        <v>22</v>
      </c>
      <c r="F13" s="6">
        <f>'Задачи 6-15'!E59</f>
        <v>1.25E-3</v>
      </c>
      <c r="G13" s="13" t="s">
        <v>16</v>
      </c>
      <c r="H13" s="14" t="s">
        <v>17</v>
      </c>
      <c r="I13" s="15" t="s">
        <v>18</v>
      </c>
    </row>
    <row r="14" spans="2:9" ht="21" customHeight="1" x14ac:dyDescent="0.35">
      <c r="B14" s="3" t="s">
        <v>38</v>
      </c>
      <c r="C14" s="4" t="s">
        <v>39</v>
      </c>
      <c r="D14" s="3" t="s">
        <v>25</v>
      </c>
      <c r="E14" s="5" t="s">
        <v>40</v>
      </c>
      <c r="F14" s="16">
        <f>'Задачи 6-15'!E77</f>
        <v>0.87</v>
      </c>
      <c r="G14" s="7" t="s">
        <v>27</v>
      </c>
      <c r="H14" s="8" t="s">
        <v>17</v>
      </c>
      <c r="I14" s="9" t="s">
        <v>18</v>
      </c>
    </row>
    <row r="15" spans="2:9" ht="21" customHeight="1" x14ac:dyDescent="0.35">
      <c r="B15" s="10" t="s">
        <v>41</v>
      </c>
      <c r="C15" s="11" t="s">
        <v>29</v>
      </c>
      <c r="D15" s="10" t="s">
        <v>30</v>
      </c>
      <c r="E15" s="12" t="s">
        <v>42</v>
      </c>
      <c r="F15" s="16">
        <f>'Задачи 6-15'!E78</f>
        <v>0.13</v>
      </c>
      <c r="G15" s="13" t="s">
        <v>27</v>
      </c>
      <c r="H15" s="14" t="s">
        <v>17</v>
      </c>
      <c r="I15" s="15" t="s">
        <v>18</v>
      </c>
    </row>
    <row r="16" spans="2:9" ht="21" customHeight="1" x14ac:dyDescent="0.35">
      <c r="B16" s="3" t="s">
        <v>43</v>
      </c>
      <c r="C16" s="4" t="s">
        <v>44</v>
      </c>
      <c r="D16" s="3" t="s">
        <v>45</v>
      </c>
      <c r="E16" s="5" t="s">
        <v>46</v>
      </c>
      <c r="F16" s="16">
        <f>'Задачи 6-15'!E98</f>
        <v>0.71199999999999997</v>
      </c>
      <c r="G16" s="7" t="s">
        <v>27</v>
      </c>
      <c r="H16" s="8" t="s">
        <v>17</v>
      </c>
      <c r="I16" s="9" t="s">
        <v>18</v>
      </c>
    </row>
    <row r="17" spans="2:9" ht="21" customHeight="1" x14ac:dyDescent="0.35">
      <c r="B17" s="10" t="s">
        <v>47</v>
      </c>
      <c r="C17" s="11" t="s">
        <v>48</v>
      </c>
      <c r="D17" s="10" t="s">
        <v>49</v>
      </c>
      <c r="E17" s="12" t="s">
        <v>50</v>
      </c>
      <c r="F17" s="16">
        <f>'Задачи 6-15'!E99</f>
        <v>0.69899999999999995</v>
      </c>
      <c r="G17" s="13" t="s">
        <v>27</v>
      </c>
      <c r="H17" s="14" t="s">
        <v>17</v>
      </c>
      <c r="I17" s="15" t="s">
        <v>18</v>
      </c>
    </row>
    <row r="18" spans="2:9" ht="21" customHeight="1" x14ac:dyDescent="0.35">
      <c r="B18" s="3" t="s">
        <v>51</v>
      </c>
      <c r="C18" s="4" t="s">
        <v>52</v>
      </c>
      <c r="D18" s="3" t="s">
        <v>53</v>
      </c>
      <c r="E18" s="5" t="s">
        <v>15</v>
      </c>
      <c r="F18" s="17">
        <f>'Задачи 6-15'!E100</f>
        <v>1.2999999999999999E-4</v>
      </c>
      <c r="G18" s="7" t="s">
        <v>16</v>
      </c>
      <c r="H18" s="8" t="s">
        <v>17</v>
      </c>
      <c r="I18" s="9" t="s">
        <v>18</v>
      </c>
    </row>
    <row r="19" spans="2:9" ht="21" customHeight="1" x14ac:dyDescent="0.35">
      <c r="B19" s="10" t="s">
        <v>54</v>
      </c>
      <c r="C19" s="11" t="s">
        <v>55</v>
      </c>
      <c r="D19" s="10" t="s">
        <v>56</v>
      </c>
      <c r="E19" s="12" t="s">
        <v>57</v>
      </c>
      <c r="F19" s="17">
        <f>'Задачи 6-15'!E101</f>
        <v>1.8258426966292135E-4</v>
      </c>
      <c r="G19" s="13" t="s">
        <v>16</v>
      </c>
      <c r="H19" s="14" t="s">
        <v>17</v>
      </c>
      <c r="I19" s="15" t="s">
        <v>18</v>
      </c>
    </row>
    <row r="20" spans="2:9" ht="21" customHeight="1" x14ac:dyDescent="0.35">
      <c r="B20" s="3" t="s">
        <v>58</v>
      </c>
      <c r="C20" s="4" t="s">
        <v>59</v>
      </c>
      <c r="D20" s="3" t="s">
        <v>60</v>
      </c>
      <c r="E20" s="5" t="s">
        <v>61</v>
      </c>
      <c r="F20" s="16">
        <f>'Задачи 6-15'!E121</f>
        <v>0.22222222222222221</v>
      </c>
      <c r="G20" s="7" t="s">
        <v>27</v>
      </c>
      <c r="H20" s="8" t="s">
        <v>17</v>
      </c>
      <c r="I20" s="9" t="s">
        <v>18</v>
      </c>
    </row>
    <row r="21" spans="2:9" ht="21" customHeight="1" x14ac:dyDescent="0.35">
      <c r="B21" s="10" t="s">
        <v>62</v>
      </c>
      <c r="C21" s="11" t="s">
        <v>63</v>
      </c>
      <c r="D21" s="10" t="s">
        <v>64</v>
      </c>
      <c r="E21" s="12" t="s">
        <v>65</v>
      </c>
      <c r="F21" s="16">
        <f>'Задачи 6-15'!E122</f>
        <v>0.15555555555555556</v>
      </c>
      <c r="G21" s="13" t="s">
        <v>27</v>
      </c>
      <c r="H21" s="14" t="s">
        <v>17</v>
      </c>
      <c r="I21" s="15" t="s">
        <v>18</v>
      </c>
    </row>
    <row r="22" spans="2:9" ht="21" customHeight="1" x14ac:dyDescent="0.35">
      <c r="B22" s="3" t="s">
        <v>66</v>
      </c>
      <c r="C22" s="4" t="s">
        <v>67</v>
      </c>
      <c r="D22" s="3" t="s">
        <v>68</v>
      </c>
      <c r="E22" s="5" t="s">
        <v>15</v>
      </c>
      <c r="F22" s="17">
        <f>'Задачи 6-15'!E123</f>
        <v>1.3333333333333334E-2</v>
      </c>
      <c r="G22" s="7" t="s">
        <v>16</v>
      </c>
      <c r="H22" s="8" t="s">
        <v>17</v>
      </c>
      <c r="I22" s="9" t="s">
        <v>18</v>
      </c>
    </row>
    <row r="23" spans="2:9" ht="21" customHeight="1" x14ac:dyDescent="0.35">
      <c r="B23" s="10" t="s">
        <v>69</v>
      </c>
      <c r="C23" s="11" t="s">
        <v>70</v>
      </c>
      <c r="D23" s="10" t="s">
        <v>71</v>
      </c>
      <c r="E23" s="12" t="s">
        <v>72</v>
      </c>
      <c r="F23" s="17">
        <f>'Задачи 6-15'!E124</f>
        <v>0.06</v>
      </c>
      <c r="G23" s="13" t="s">
        <v>16</v>
      </c>
      <c r="H23" s="14" t="s">
        <v>17</v>
      </c>
      <c r="I23" s="15" t="s">
        <v>18</v>
      </c>
    </row>
    <row r="24" spans="2:9" ht="21" customHeight="1" x14ac:dyDescent="0.35">
      <c r="B24" s="3" t="s">
        <v>73</v>
      </c>
      <c r="C24" s="4" t="s">
        <v>74</v>
      </c>
      <c r="D24" s="3" t="s">
        <v>75</v>
      </c>
      <c r="E24" s="5" t="s">
        <v>76</v>
      </c>
      <c r="F24" s="18">
        <f>'Задачи 6-15'!E146</f>
        <v>15.888888888888889</v>
      </c>
      <c r="G24" s="7" t="s">
        <v>77</v>
      </c>
      <c r="H24" s="8" t="s">
        <v>17</v>
      </c>
      <c r="I24" s="9" t="s">
        <v>18</v>
      </c>
    </row>
    <row r="25" spans="2:9" ht="21" customHeight="1" x14ac:dyDescent="0.35">
      <c r="B25" s="10" t="s">
        <v>78</v>
      </c>
      <c r="C25" s="11" t="s">
        <v>79</v>
      </c>
      <c r="D25" s="10" t="s">
        <v>75</v>
      </c>
      <c r="E25" s="12" t="s">
        <v>80</v>
      </c>
      <c r="F25" s="18">
        <f>'Задачи 6-15'!E169</f>
        <v>727.5</v>
      </c>
      <c r="G25" s="13" t="s">
        <v>77</v>
      </c>
      <c r="H25" s="14" t="s">
        <v>17</v>
      </c>
      <c r="I25" s="15" t="s">
        <v>18</v>
      </c>
    </row>
    <row r="26" spans="2:9" ht="21" customHeight="1" x14ac:dyDescent="0.35">
      <c r="B26" s="3" t="s">
        <v>81</v>
      </c>
      <c r="C26" s="4" t="s">
        <v>82</v>
      </c>
      <c r="D26" s="3" t="s">
        <v>83</v>
      </c>
      <c r="E26" s="5" t="s">
        <v>84</v>
      </c>
      <c r="F26" s="18">
        <f>'Задачи 6-15'!E192</f>
        <v>20.833333333333332</v>
      </c>
      <c r="G26" s="7" t="s">
        <v>85</v>
      </c>
      <c r="H26" s="8" t="s">
        <v>17</v>
      </c>
      <c r="I26" s="9" t="s">
        <v>18</v>
      </c>
    </row>
    <row r="27" spans="2:9" ht="21" customHeight="1" x14ac:dyDescent="0.35">
      <c r="B27" s="10" t="s">
        <v>86</v>
      </c>
      <c r="C27" s="11" t="s">
        <v>87</v>
      </c>
      <c r="D27" s="10" t="s">
        <v>88</v>
      </c>
      <c r="E27" s="12" t="s">
        <v>89</v>
      </c>
      <c r="F27" s="16">
        <f>'Задачи 6-15'!E213</f>
        <v>0.59</v>
      </c>
      <c r="G27" s="13" t="s">
        <v>27</v>
      </c>
      <c r="H27" s="14" t="s">
        <v>17</v>
      </c>
      <c r="I27" s="15" t="s">
        <v>18</v>
      </c>
    </row>
    <row r="28" spans="2:9" ht="21" customHeight="1" x14ac:dyDescent="0.35">
      <c r="B28" s="3" t="s">
        <v>90</v>
      </c>
      <c r="C28" s="4" t="s">
        <v>91</v>
      </c>
      <c r="D28" s="3" t="s">
        <v>92</v>
      </c>
      <c r="E28" s="5" t="s">
        <v>93</v>
      </c>
      <c r="F28" s="16">
        <f>'Задачи 6-15'!E214</f>
        <v>0.55000000000000004</v>
      </c>
      <c r="G28" s="7" t="s">
        <v>27</v>
      </c>
      <c r="H28" s="8" t="s">
        <v>17</v>
      </c>
      <c r="I28" s="9" t="s">
        <v>18</v>
      </c>
    </row>
    <row r="29" spans="2:9" ht="21" customHeight="1" x14ac:dyDescent="0.35">
      <c r="B29" s="10" t="s">
        <v>94</v>
      </c>
      <c r="C29" s="11" t="s">
        <v>95</v>
      </c>
      <c r="D29" s="10" t="s">
        <v>96</v>
      </c>
      <c r="E29" s="12" t="s">
        <v>15</v>
      </c>
      <c r="F29" s="17">
        <f>'Задачи 6-15'!E215</f>
        <v>4.0000000000000003E-5</v>
      </c>
      <c r="G29" s="13" t="s">
        <v>16</v>
      </c>
      <c r="H29" s="14" t="s">
        <v>17</v>
      </c>
      <c r="I29" s="15" t="s">
        <v>18</v>
      </c>
    </row>
    <row r="30" spans="2:9" ht="21" customHeight="1" x14ac:dyDescent="0.35">
      <c r="B30" s="3" t="s">
        <v>97</v>
      </c>
      <c r="C30" s="4" t="s">
        <v>98</v>
      </c>
      <c r="D30" s="3" t="s">
        <v>99</v>
      </c>
      <c r="E30" s="5" t="s">
        <v>100</v>
      </c>
      <c r="F30" s="17">
        <f>'Задачи 6-15'!E216</f>
        <v>6.7796610169491525E-5</v>
      </c>
      <c r="G30" s="7" t="s">
        <v>16</v>
      </c>
      <c r="H30" s="8" t="s">
        <v>17</v>
      </c>
      <c r="I30" s="9" t="s">
        <v>18</v>
      </c>
    </row>
    <row r="33" spans="2:9" ht="25" customHeight="1" x14ac:dyDescent="0.45">
      <c r="B33" s="1" t="s">
        <v>101</v>
      </c>
    </row>
    <row r="34" spans="2:9" ht="26" customHeight="1" x14ac:dyDescent="0.35">
      <c r="B34" s="2" t="s">
        <v>4</v>
      </c>
      <c r="C34" s="2" t="s">
        <v>102</v>
      </c>
      <c r="D34" s="2" t="s">
        <v>103</v>
      </c>
      <c r="E34" s="2" t="s">
        <v>104</v>
      </c>
      <c r="F34" s="2" t="s">
        <v>8</v>
      </c>
      <c r="G34" s="2" t="s">
        <v>9</v>
      </c>
      <c r="H34" s="2" t="s">
        <v>105</v>
      </c>
      <c r="I34" s="2" t="s">
        <v>106</v>
      </c>
    </row>
    <row r="35" spans="2:9" ht="21" customHeight="1" x14ac:dyDescent="0.35">
      <c r="B35" s="10" t="s">
        <v>107</v>
      </c>
      <c r="C35" s="11" t="s">
        <v>108</v>
      </c>
      <c r="D35" s="11" t="s">
        <v>109</v>
      </c>
      <c r="E35" s="10" t="s">
        <v>110</v>
      </c>
      <c r="F35" s="18">
        <f>'Задачи 1-5'!E21</f>
        <v>90.566037735849036</v>
      </c>
      <c r="G35" s="13" t="s">
        <v>77</v>
      </c>
      <c r="H35" s="15" t="s">
        <v>111</v>
      </c>
      <c r="I35" s="14" t="s">
        <v>112</v>
      </c>
    </row>
    <row r="36" spans="2:9" ht="21" customHeight="1" x14ac:dyDescent="0.35">
      <c r="B36" s="3" t="s">
        <v>113</v>
      </c>
      <c r="C36" s="4" t="s">
        <v>114</v>
      </c>
      <c r="D36" s="4" t="s">
        <v>115</v>
      </c>
      <c r="E36" s="3" t="s">
        <v>116</v>
      </c>
      <c r="F36" s="18">
        <f>'Задачи 1-5'!E37</f>
        <v>0.92</v>
      </c>
      <c r="G36" s="7" t="s">
        <v>27</v>
      </c>
      <c r="H36" s="9" t="s">
        <v>117</v>
      </c>
      <c r="I36" s="8" t="s">
        <v>112</v>
      </c>
    </row>
    <row r="37" spans="2:9" ht="21" customHeight="1" x14ac:dyDescent="0.35">
      <c r="B37" s="10" t="s">
        <v>118</v>
      </c>
      <c r="C37" s="11" t="s">
        <v>119</v>
      </c>
      <c r="D37" s="11" t="s">
        <v>120</v>
      </c>
      <c r="E37" s="10" t="s">
        <v>116</v>
      </c>
      <c r="F37" s="18">
        <f>'Задачи 1-5'!E57</f>
        <v>0.4</v>
      </c>
      <c r="G37" s="13" t="s">
        <v>27</v>
      </c>
      <c r="H37" s="15" t="s">
        <v>121</v>
      </c>
      <c r="I37" s="14" t="s">
        <v>112</v>
      </c>
    </row>
    <row r="38" spans="2:9" ht="21" customHeight="1" x14ac:dyDescent="0.35">
      <c r="B38" s="3" t="s">
        <v>122</v>
      </c>
      <c r="C38" s="4" t="s">
        <v>123</v>
      </c>
      <c r="D38" s="4" t="s">
        <v>124</v>
      </c>
      <c r="E38" s="3" t="s">
        <v>125</v>
      </c>
      <c r="F38" s="18">
        <f>'Задачи 1-5'!E81</f>
        <v>343.33333333333331</v>
      </c>
      <c r="G38" s="7" t="s">
        <v>77</v>
      </c>
      <c r="H38" s="9" t="s">
        <v>126</v>
      </c>
      <c r="I38" s="8" t="s">
        <v>112</v>
      </c>
    </row>
    <row r="39" spans="2:9" ht="21" customHeight="1" x14ac:dyDescent="0.35">
      <c r="B39" s="10" t="s">
        <v>127</v>
      </c>
      <c r="C39" s="11" t="s">
        <v>128</v>
      </c>
      <c r="D39" s="11" t="s">
        <v>129</v>
      </c>
      <c r="E39" s="10" t="s">
        <v>130</v>
      </c>
      <c r="F39" s="18">
        <f>'Задачи 1-5'!E112</f>
        <v>31.722222222222221</v>
      </c>
      <c r="G39" s="13" t="s">
        <v>77</v>
      </c>
      <c r="H39" s="15" t="s">
        <v>131</v>
      </c>
      <c r="I39" s="14" t="s">
        <v>112</v>
      </c>
    </row>
  </sheetData>
  <mergeCells count="3">
    <mergeCell ref="B3:H3"/>
    <mergeCell ref="B2:H2"/>
    <mergeCell ref="B4:H4"/>
  </mergeCells>
  <hyperlinks>
    <hyperlink ref="H8" location="'Задачи 6-15'!A6" display="Перейти к решению" xr:uid="{00000000-0004-0000-0000-000000000000}"/>
    <hyperlink ref="H9" location="'Задачи 6-15'!A6" display="Перейти к решению" xr:uid="{00000000-0004-0000-0000-000001000000}"/>
    <hyperlink ref="H10" location="'Задачи 6-15'!A26" display="Перейти к решению" xr:uid="{00000000-0004-0000-0000-000002000000}"/>
    <hyperlink ref="H11" location="'Задачи 6-15'!A26" display="Перейти к решению" xr:uid="{00000000-0004-0000-0000-000003000000}"/>
    <hyperlink ref="H12" location="'Задачи 6-15'!A43" display="Перейти к решению" xr:uid="{00000000-0004-0000-0000-000004000000}"/>
    <hyperlink ref="H13" location="'Задачи 6-15'!A43" display="Перейти к решению" xr:uid="{00000000-0004-0000-0000-000005000000}"/>
    <hyperlink ref="H14" location="'Задачи 6-15'!A63" display="Перейти к решению" xr:uid="{00000000-0004-0000-0000-000006000000}"/>
    <hyperlink ref="H15" location="'Задачи 6-15'!A63" display="Перейти к решению" xr:uid="{00000000-0004-0000-0000-000007000000}"/>
    <hyperlink ref="H16" location="'Задачи 6-15'!A82" display="Перейти к решению" xr:uid="{00000000-0004-0000-0000-000008000000}"/>
    <hyperlink ref="H17" location="'Задачи 6-15'!A82" display="Перейти к решению" xr:uid="{00000000-0004-0000-0000-000009000000}"/>
    <hyperlink ref="H18" location="'Задачи 6-15'!A82" display="Перейти к решению" xr:uid="{00000000-0004-0000-0000-00000A000000}"/>
    <hyperlink ref="H19" location="'Задачи 6-15'!A82" display="Перейти к решению" xr:uid="{00000000-0004-0000-0000-00000B000000}"/>
    <hyperlink ref="H20" location="'Задачи 6-15'!A105" display="Перейти к решению" xr:uid="{00000000-0004-0000-0000-00000C000000}"/>
    <hyperlink ref="H21" location="'Задачи 6-15'!A105" display="Перейти к решению" xr:uid="{00000000-0004-0000-0000-00000D000000}"/>
    <hyperlink ref="H22" location="'Задачи 6-15'!A105" display="Перейти к решению" xr:uid="{00000000-0004-0000-0000-00000E000000}"/>
    <hyperlink ref="H23" location="'Задачи 6-15'!A105" display="Перейти к решению" xr:uid="{00000000-0004-0000-0000-00000F000000}"/>
    <hyperlink ref="H24" location="'Задачи 6-15'!A128" display="Перейти к решению" xr:uid="{00000000-0004-0000-0000-000010000000}"/>
    <hyperlink ref="H25" location="'Задачи 6-15'!A151" display="Перейти к решению" xr:uid="{00000000-0004-0000-0000-000011000000}"/>
    <hyperlink ref="H26" location="'Задачи 6-15'!A176" display="Перейти к решению" xr:uid="{00000000-0004-0000-0000-000012000000}"/>
    <hyperlink ref="H27" location="'Задачи 6-15'!A197" display="Перейти к решению" xr:uid="{00000000-0004-0000-0000-000013000000}"/>
    <hyperlink ref="H28" location="'Задачи 6-15'!A197" display="Перейти к решению" xr:uid="{00000000-0004-0000-0000-000014000000}"/>
    <hyperlink ref="H29" location="'Задачи 6-15'!A197" display="Перейти к решению" xr:uid="{00000000-0004-0000-0000-000015000000}"/>
    <hyperlink ref="H30" location="'Задачи 6-15'!A197" display="Перейти к решению" xr:uid="{00000000-0004-0000-0000-000016000000}"/>
    <hyperlink ref="I35" location="'Задачи 1-5'!A6" display="Смотреть" xr:uid="{00000000-0004-0000-0000-000017000000}"/>
    <hyperlink ref="I36" location="'Задачи 1-5'!A25" display="Смотреть" xr:uid="{00000000-0004-0000-0000-000018000000}"/>
    <hyperlink ref="I37" location="'Задачи 1-5'!A42" display="Смотреть" xr:uid="{00000000-0004-0000-0000-000019000000}"/>
    <hyperlink ref="I38" location="'Задачи 1-5'!A64" display="Смотреть" xr:uid="{00000000-0004-0000-0000-00001A000000}"/>
    <hyperlink ref="I39" location="'Задачи 1-5'!A85" display="Смотреть" xr:uid="{00000000-0004-0000-0000-00001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17"/>
  <sheetViews>
    <sheetView topLeftCell="A13" workbookViewId="0"/>
  </sheetViews>
  <sheetFormatPr defaultRowHeight="14.5" x14ac:dyDescent="0.35"/>
  <cols>
    <col min="1" max="1" width="4" customWidth="1"/>
    <col min="2" max="2" width="40" customWidth="1"/>
    <col min="3" max="3" width="18" customWidth="1"/>
    <col min="4" max="4" width="34" customWidth="1"/>
    <col min="5" max="5" width="24" customWidth="1"/>
    <col min="6" max="6" width="12" customWidth="1"/>
    <col min="7" max="7" width="46" customWidth="1"/>
  </cols>
  <sheetData>
    <row r="2" spans="2:7" ht="30" customHeight="1" x14ac:dyDescent="0.35">
      <c r="B2" s="52" t="s">
        <v>132</v>
      </c>
      <c r="C2" s="53"/>
      <c r="D2" s="53"/>
      <c r="E2" s="53"/>
      <c r="F2" s="53"/>
      <c r="G2" s="53"/>
    </row>
    <row r="3" spans="2:7" ht="24" customHeight="1" x14ac:dyDescent="0.35">
      <c r="B3" s="50" t="s">
        <v>133</v>
      </c>
      <c r="C3" s="51"/>
      <c r="D3" s="51"/>
      <c r="E3" s="51"/>
      <c r="F3" s="51"/>
      <c r="G3" s="51"/>
    </row>
    <row r="4" spans="2:7" ht="20" customHeight="1" x14ac:dyDescent="0.35">
      <c r="B4" s="54" t="s">
        <v>134</v>
      </c>
      <c r="C4" s="51"/>
      <c r="D4" s="51"/>
      <c r="E4" s="51"/>
      <c r="F4" s="51"/>
      <c r="G4" s="51"/>
    </row>
    <row r="6" spans="2:7" ht="24" customHeight="1" x14ac:dyDescent="0.35">
      <c r="B6" s="60" t="s">
        <v>135</v>
      </c>
      <c r="C6" s="53"/>
      <c r="D6" s="53"/>
      <c r="E6" s="53"/>
      <c r="F6" s="53"/>
      <c r="G6" s="53"/>
    </row>
    <row r="7" spans="2:7" ht="18" customHeight="1" x14ac:dyDescent="0.35">
      <c r="B7" s="55" t="s">
        <v>136</v>
      </c>
      <c r="C7" s="56"/>
      <c r="D7" s="56"/>
      <c r="E7" s="56"/>
      <c r="F7" s="56"/>
      <c r="G7" s="56"/>
    </row>
    <row r="8" spans="2:7" ht="18" customHeight="1" x14ac:dyDescent="0.35">
      <c r="B8" s="56"/>
      <c r="C8" s="56"/>
      <c r="D8" s="56"/>
      <c r="E8" s="56"/>
      <c r="F8" s="56"/>
      <c r="G8" s="56"/>
    </row>
    <row r="9" spans="2:7" ht="20" customHeight="1" x14ac:dyDescent="0.45">
      <c r="B9" s="19" t="s">
        <v>137</v>
      </c>
    </row>
    <row r="10" spans="2:7" ht="22" customHeight="1" x14ac:dyDescent="0.35">
      <c r="B10" s="20" t="s">
        <v>138</v>
      </c>
      <c r="C10" s="20" t="s">
        <v>139</v>
      </c>
      <c r="D10" s="20" t="s">
        <v>140</v>
      </c>
      <c r="E10" s="20" t="s">
        <v>9</v>
      </c>
      <c r="F10" s="20" t="s">
        <v>141</v>
      </c>
    </row>
    <row r="11" spans="2:7" ht="20" customHeight="1" x14ac:dyDescent="0.35">
      <c r="B11" s="21" t="s">
        <v>142</v>
      </c>
      <c r="C11" s="22" t="s">
        <v>143</v>
      </c>
      <c r="D11" s="23">
        <v>100</v>
      </c>
      <c r="E11" s="24" t="s">
        <v>144</v>
      </c>
      <c r="F11" s="25" t="s">
        <v>145</v>
      </c>
    </row>
    <row r="12" spans="2:7" ht="20" customHeight="1" x14ac:dyDescent="0.35">
      <c r="B12" s="21" t="s">
        <v>146</v>
      </c>
      <c r="C12" s="22" t="s">
        <v>147</v>
      </c>
      <c r="D12" s="23">
        <v>4000</v>
      </c>
      <c r="E12" s="24" t="s">
        <v>77</v>
      </c>
      <c r="F12" s="25" t="s">
        <v>148</v>
      </c>
    </row>
    <row r="13" spans="2:7" ht="20" customHeight="1" x14ac:dyDescent="0.35">
      <c r="B13" s="21" t="s">
        <v>149</v>
      </c>
      <c r="C13" s="22" t="s">
        <v>150</v>
      </c>
      <c r="D13" s="23">
        <v>50</v>
      </c>
      <c r="E13" s="24" t="s">
        <v>144</v>
      </c>
      <c r="F13" s="25" t="s">
        <v>151</v>
      </c>
    </row>
    <row r="14" spans="2:7" ht="20" customHeight="1" x14ac:dyDescent="0.35">
      <c r="B14" s="21" t="s">
        <v>152</v>
      </c>
      <c r="C14" s="22" t="s">
        <v>153</v>
      </c>
      <c r="D14" s="23">
        <v>4100</v>
      </c>
      <c r="E14" s="24" t="s">
        <v>77</v>
      </c>
      <c r="F14" s="25" t="s">
        <v>154</v>
      </c>
    </row>
    <row r="15" spans="2:7" ht="20" customHeight="1" x14ac:dyDescent="0.35">
      <c r="B15" s="21" t="s">
        <v>155</v>
      </c>
      <c r="C15" s="22" t="s">
        <v>156</v>
      </c>
      <c r="D15" s="26">
        <f>D14-D12</f>
        <v>100</v>
      </c>
      <c r="E15" s="24" t="s">
        <v>77</v>
      </c>
      <c r="F15" s="25" t="s">
        <v>157</v>
      </c>
    </row>
    <row r="16" spans="2:7" ht="20" customHeight="1" x14ac:dyDescent="0.35">
      <c r="B16" s="21" t="s">
        <v>158</v>
      </c>
      <c r="C16" s="22" t="s">
        <v>159</v>
      </c>
      <c r="D16" s="23">
        <v>20</v>
      </c>
      <c r="E16" s="24" t="s">
        <v>144</v>
      </c>
      <c r="F16" s="25" t="s">
        <v>160</v>
      </c>
    </row>
    <row r="18" spans="2:7" ht="20" customHeight="1" x14ac:dyDescent="0.45">
      <c r="B18" s="19" t="s">
        <v>161</v>
      </c>
    </row>
    <row r="19" spans="2:7" ht="24" customHeight="1" x14ac:dyDescent="0.35">
      <c r="B19" s="27" t="s">
        <v>162</v>
      </c>
      <c r="C19" s="27" t="s">
        <v>139</v>
      </c>
      <c r="D19" s="27" t="s">
        <v>163</v>
      </c>
      <c r="E19" s="27" t="s">
        <v>164</v>
      </c>
      <c r="F19" s="27" t="s">
        <v>9</v>
      </c>
      <c r="G19" s="27" t="s">
        <v>165</v>
      </c>
    </row>
    <row r="20" spans="2:7" ht="22" customHeight="1" x14ac:dyDescent="0.35">
      <c r="B20" s="21" t="s">
        <v>166</v>
      </c>
      <c r="C20" s="22" t="s">
        <v>167</v>
      </c>
      <c r="D20" s="28" t="s">
        <v>168</v>
      </c>
      <c r="E20" s="29">
        <f>D11-D13</f>
        <v>50</v>
      </c>
      <c r="F20" s="24" t="s">
        <v>144</v>
      </c>
      <c r="G20" s="25" t="s">
        <v>169</v>
      </c>
    </row>
    <row r="21" spans="2:7" ht="22" customHeight="1" x14ac:dyDescent="0.35">
      <c r="B21" s="21" t="s">
        <v>170</v>
      </c>
      <c r="C21" s="22" t="s">
        <v>171</v>
      </c>
      <c r="D21" s="28" t="s">
        <v>172</v>
      </c>
      <c r="E21" s="6">
        <f>D16/(D11*D15)</f>
        <v>2E-3</v>
      </c>
      <c r="F21" s="24" t="s">
        <v>16</v>
      </c>
      <c r="G21" s="25" t="s">
        <v>173</v>
      </c>
    </row>
    <row r="22" spans="2:7" ht="22" customHeight="1" x14ac:dyDescent="0.35">
      <c r="B22" s="21" t="s">
        <v>174</v>
      </c>
      <c r="C22" s="22" t="s">
        <v>175</v>
      </c>
      <c r="D22" s="28" t="s">
        <v>176</v>
      </c>
      <c r="E22" s="6">
        <f>D16/(E20*D15)</f>
        <v>4.0000000000000001E-3</v>
      </c>
      <c r="F22" s="24" t="s">
        <v>16</v>
      </c>
      <c r="G22" s="25" t="s">
        <v>177</v>
      </c>
    </row>
    <row r="23" spans="2:7" ht="24" customHeight="1" x14ac:dyDescent="0.35">
      <c r="B23" s="58" t="s">
        <v>178</v>
      </c>
      <c r="C23" s="59"/>
      <c r="D23" s="59"/>
      <c r="E23" s="59"/>
      <c r="F23" s="59"/>
      <c r="G23" s="59"/>
    </row>
    <row r="26" spans="2:7" ht="24" customHeight="1" x14ac:dyDescent="0.35">
      <c r="B26" s="60" t="s">
        <v>179</v>
      </c>
      <c r="C26" s="53"/>
      <c r="D26" s="53"/>
      <c r="E26" s="53"/>
      <c r="F26" s="53"/>
      <c r="G26" s="53"/>
    </row>
    <row r="27" spans="2:7" ht="18" customHeight="1" x14ac:dyDescent="0.35">
      <c r="B27" s="55" t="s">
        <v>180</v>
      </c>
      <c r="C27" s="56"/>
      <c r="D27" s="56"/>
      <c r="E27" s="56"/>
      <c r="F27" s="56"/>
      <c r="G27" s="56"/>
    </row>
    <row r="28" spans="2:7" ht="18" customHeight="1" x14ac:dyDescent="0.35">
      <c r="B28" s="56"/>
      <c r="C28" s="56"/>
      <c r="D28" s="56"/>
      <c r="E28" s="56"/>
      <c r="F28" s="56"/>
      <c r="G28" s="56"/>
    </row>
    <row r="29" spans="2:7" ht="20" customHeight="1" x14ac:dyDescent="0.45">
      <c r="B29" s="19" t="s">
        <v>137</v>
      </c>
    </row>
    <row r="30" spans="2:7" ht="22" customHeight="1" x14ac:dyDescent="0.35">
      <c r="B30" s="20" t="s">
        <v>138</v>
      </c>
      <c r="C30" s="20" t="s">
        <v>139</v>
      </c>
      <c r="D30" s="20" t="s">
        <v>140</v>
      </c>
      <c r="E30" s="20" t="s">
        <v>9</v>
      </c>
      <c r="F30" s="20" t="s">
        <v>141</v>
      </c>
    </row>
    <row r="31" spans="2:7" ht="20" customHeight="1" x14ac:dyDescent="0.35">
      <c r="B31" s="21" t="s">
        <v>142</v>
      </c>
      <c r="C31" s="22" t="s">
        <v>143</v>
      </c>
      <c r="D31" s="23">
        <v>100</v>
      </c>
      <c r="E31" s="24" t="s">
        <v>144</v>
      </c>
      <c r="F31" s="25" t="s">
        <v>181</v>
      </c>
    </row>
    <row r="32" spans="2:7" ht="20" customHeight="1" x14ac:dyDescent="0.35">
      <c r="B32" s="21" t="s">
        <v>182</v>
      </c>
      <c r="C32" s="22" t="s">
        <v>147</v>
      </c>
      <c r="D32" s="23">
        <v>4000</v>
      </c>
      <c r="E32" s="24" t="s">
        <v>77</v>
      </c>
      <c r="F32" s="25" t="s">
        <v>148</v>
      </c>
    </row>
    <row r="33" spans="2:7" ht="20" customHeight="1" x14ac:dyDescent="0.35">
      <c r="B33" s="21" t="s">
        <v>149</v>
      </c>
      <c r="C33" s="22" t="s">
        <v>150</v>
      </c>
      <c r="D33" s="23">
        <v>50</v>
      </c>
      <c r="E33" s="24" t="s">
        <v>144</v>
      </c>
      <c r="F33" s="25" t="s">
        <v>183</v>
      </c>
    </row>
    <row r="35" spans="2:7" ht="20" customHeight="1" x14ac:dyDescent="0.45">
      <c r="B35" s="19" t="s">
        <v>161</v>
      </c>
    </row>
    <row r="36" spans="2:7" ht="24" customHeight="1" x14ac:dyDescent="0.35">
      <c r="B36" s="27" t="s">
        <v>162</v>
      </c>
      <c r="C36" s="27" t="s">
        <v>139</v>
      </c>
      <c r="D36" s="27" t="s">
        <v>163</v>
      </c>
      <c r="E36" s="27" t="s">
        <v>164</v>
      </c>
      <c r="F36" s="27" t="s">
        <v>9</v>
      </c>
      <c r="G36" s="27" t="s">
        <v>165</v>
      </c>
    </row>
    <row r="37" spans="2:7" ht="22" customHeight="1" x14ac:dyDescent="0.35">
      <c r="B37" s="21" t="s">
        <v>184</v>
      </c>
      <c r="C37" s="22" t="s">
        <v>167</v>
      </c>
      <c r="D37" s="28" t="s">
        <v>168</v>
      </c>
      <c r="E37" s="29">
        <f>D31-D33</f>
        <v>50</v>
      </c>
      <c r="F37" s="24" t="s">
        <v>144</v>
      </c>
      <c r="G37" s="25" t="s">
        <v>169</v>
      </c>
    </row>
    <row r="38" spans="2:7" ht="22" customHeight="1" x14ac:dyDescent="0.35">
      <c r="B38" s="21" t="s">
        <v>185</v>
      </c>
      <c r="C38" s="22" t="s">
        <v>186</v>
      </c>
      <c r="D38" s="28" t="s">
        <v>187</v>
      </c>
      <c r="E38" s="16">
        <f>E37/D31</f>
        <v>0.5</v>
      </c>
      <c r="F38" s="24" t="s">
        <v>27</v>
      </c>
      <c r="G38" s="25" t="s">
        <v>188</v>
      </c>
    </row>
    <row r="39" spans="2:7" ht="22" customHeight="1" x14ac:dyDescent="0.35">
      <c r="B39" s="21" t="s">
        <v>189</v>
      </c>
      <c r="C39" s="22" t="s">
        <v>190</v>
      </c>
      <c r="D39" s="28" t="s">
        <v>191</v>
      </c>
      <c r="E39" s="16">
        <f>1-E38</f>
        <v>0.5</v>
      </c>
      <c r="F39" s="24" t="s">
        <v>27</v>
      </c>
      <c r="G39" s="25" t="s">
        <v>192</v>
      </c>
    </row>
    <row r="40" spans="2:7" ht="24" customHeight="1" x14ac:dyDescent="0.35">
      <c r="B40" s="58" t="s">
        <v>193</v>
      </c>
      <c r="C40" s="59"/>
      <c r="D40" s="59"/>
      <c r="E40" s="59"/>
      <c r="F40" s="59"/>
      <c r="G40" s="59"/>
    </row>
    <row r="43" spans="2:7" ht="24" customHeight="1" x14ac:dyDescent="0.35">
      <c r="B43" s="60" t="s">
        <v>194</v>
      </c>
      <c r="C43" s="53"/>
      <c r="D43" s="53"/>
      <c r="E43" s="53"/>
      <c r="F43" s="53"/>
      <c r="G43" s="53"/>
    </row>
    <row r="44" spans="2:7" ht="18" customHeight="1" x14ac:dyDescent="0.35">
      <c r="B44" s="55" t="s">
        <v>195</v>
      </c>
      <c r="C44" s="56"/>
      <c r="D44" s="56"/>
      <c r="E44" s="56"/>
      <c r="F44" s="56"/>
      <c r="G44" s="56"/>
    </row>
    <row r="45" spans="2:7" ht="18" customHeight="1" x14ac:dyDescent="0.35">
      <c r="B45" s="56"/>
      <c r="C45" s="56"/>
      <c r="D45" s="56"/>
      <c r="E45" s="56"/>
      <c r="F45" s="56"/>
      <c r="G45" s="56"/>
    </row>
    <row r="46" spans="2:7" ht="20" customHeight="1" x14ac:dyDescent="0.45">
      <c r="B46" s="19" t="s">
        <v>137</v>
      </c>
    </row>
    <row r="47" spans="2:7" ht="22" customHeight="1" x14ac:dyDescent="0.35">
      <c r="B47" s="20" t="s">
        <v>138</v>
      </c>
      <c r="C47" s="20" t="s">
        <v>139</v>
      </c>
      <c r="D47" s="20" t="s">
        <v>140</v>
      </c>
      <c r="E47" s="20" t="s">
        <v>9</v>
      </c>
      <c r="F47" s="20" t="s">
        <v>141</v>
      </c>
    </row>
    <row r="48" spans="2:7" ht="20" customHeight="1" x14ac:dyDescent="0.35">
      <c r="B48" s="21" t="s">
        <v>196</v>
      </c>
      <c r="C48" s="22" t="s">
        <v>143</v>
      </c>
      <c r="D48" s="23">
        <v>10</v>
      </c>
      <c r="E48" s="24" t="s">
        <v>144</v>
      </c>
      <c r="F48" s="25" t="s">
        <v>197</v>
      </c>
    </row>
    <row r="49" spans="2:7" ht="20" customHeight="1" x14ac:dyDescent="0.35">
      <c r="B49" s="21" t="s">
        <v>182</v>
      </c>
      <c r="C49" s="22" t="s">
        <v>147</v>
      </c>
      <c r="D49" s="23">
        <v>1000</v>
      </c>
      <c r="E49" s="24" t="s">
        <v>77</v>
      </c>
      <c r="F49" s="25" t="s">
        <v>198</v>
      </c>
    </row>
    <row r="50" spans="2:7" ht="20" customHeight="1" x14ac:dyDescent="0.35">
      <c r="B50" s="21" t="s">
        <v>199</v>
      </c>
      <c r="C50" s="22" t="s">
        <v>150</v>
      </c>
      <c r="D50" s="23">
        <v>2</v>
      </c>
      <c r="E50" s="24" t="s">
        <v>144</v>
      </c>
      <c r="F50" s="25" t="s">
        <v>200</v>
      </c>
    </row>
    <row r="51" spans="2:7" ht="20" customHeight="1" x14ac:dyDescent="0.35">
      <c r="B51" s="21" t="s">
        <v>152</v>
      </c>
      <c r="C51" s="22" t="s">
        <v>153</v>
      </c>
      <c r="D51" s="23">
        <v>1100</v>
      </c>
      <c r="E51" s="24" t="s">
        <v>77</v>
      </c>
      <c r="F51" s="25" t="s">
        <v>201</v>
      </c>
    </row>
    <row r="52" spans="2:7" ht="20" customHeight="1" x14ac:dyDescent="0.35">
      <c r="B52" s="21" t="s">
        <v>202</v>
      </c>
      <c r="C52" s="22" t="s">
        <v>156</v>
      </c>
      <c r="D52" s="26">
        <f>D51-D49</f>
        <v>100</v>
      </c>
      <c r="E52" s="24" t="s">
        <v>77</v>
      </c>
      <c r="F52" s="25" t="s">
        <v>203</v>
      </c>
    </row>
    <row r="53" spans="2:7" ht="20" customHeight="1" x14ac:dyDescent="0.35">
      <c r="B53" s="21" t="s">
        <v>204</v>
      </c>
      <c r="C53" s="22" t="s">
        <v>159</v>
      </c>
      <c r="D53" s="23">
        <v>1</v>
      </c>
      <c r="E53" s="24" t="s">
        <v>144</v>
      </c>
      <c r="F53" s="25" t="s">
        <v>205</v>
      </c>
    </row>
    <row r="55" spans="2:7" ht="20" customHeight="1" x14ac:dyDescent="0.45">
      <c r="B55" s="19" t="s">
        <v>161</v>
      </c>
    </row>
    <row r="56" spans="2:7" ht="24" customHeight="1" x14ac:dyDescent="0.35">
      <c r="B56" s="27" t="s">
        <v>162</v>
      </c>
      <c r="C56" s="27" t="s">
        <v>139</v>
      </c>
      <c r="D56" s="27" t="s">
        <v>163</v>
      </c>
      <c r="E56" s="27" t="s">
        <v>164</v>
      </c>
      <c r="F56" s="27" t="s">
        <v>9</v>
      </c>
      <c r="G56" s="27" t="s">
        <v>165</v>
      </c>
    </row>
    <row r="57" spans="2:7" ht="22" customHeight="1" x14ac:dyDescent="0.35">
      <c r="B57" s="21" t="s">
        <v>206</v>
      </c>
      <c r="C57" s="22" t="s">
        <v>167</v>
      </c>
      <c r="D57" s="28" t="s">
        <v>168</v>
      </c>
      <c r="E57" s="29">
        <f>D48-D50</f>
        <v>8</v>
      </c>
      <c r="F57" s="24" t="s">
        <v>144</v>
      </c>
      <c r="G57" s="25" t="s">
        <v>207</v>
      </c>
    </row>
    <row r="58" spans="2:7" ht="22" customHeight="1" x14ac:dyDescent="0.35">
      <c r="B58" s="21" t="s">
        <v>208</v>
      </c>
      <c r="C58" s="22" t="s">
        <v>209</v>
      </c>
      <c r="D58" s="28" t="s">
        <v>172</v>
      </c>
      <c r="E58" s="6">
        <f>D53/(D48*D52)</f>
        <v>1E-3</v>
      </c>
      <c r="F58" s="24" t="s">
        <v>16</v>
      </c>
      <c r="G58" s="25" t="s">
        <v>210</v>
      </c>
    </row>
    <row r="59" spans="2:7" ht="22" customHeight="1" x14ac:dyDescent="0.35">
      <c r="B59" s="21" t="s">
        <v>211</v>
      </c>
      <c r="C59" s="22" t="s">
        <v>212</v>
      </c>
      <c r="D59" s="28" t="s">
        <v>176</v>
      </c>
      <c r="E59" s="6">
        <f>D53/(E57*D52)</f>
        <v>1.25E-3</v>
      </c>
      <c r="F59" s="24" t="s">
        <v>16</v>
      </c>
      <c r="G59" s="25" t="s">
        <v>213</v>
      </c>
    </row>
    <row r="60" spans="2:7" ht="24" customHeight="1" x14ac:dyDescent="0.35">
      <c r="B60" s="58" t="s">
        <v>214</v>
      </c>
      <c r="C60" s="59"/>
      <c r="D60" s="59"/>
      <c r="E60" s="59"/>
      <c r="F60" s="59"/>
      <c r="G60" s="59"/>
    </row>
    <row r="63" spans="2:7" ht="24" customHeight="1" x14ac:dyDescent="0.35">
      <c r="B63" s="60" t="s">
        <v>215</v>
      </c>
      <c r="C63" s="53"/>
      <c r="D63" s="53"/>
      <c r="E63" s="53"/>
      <c r="F63" s="53"/>
      <c r="G63" s="53"/>
    </row>
    <row r="64" spans="2:7" ht="18" customHeight="1" x14ac:dyDescent="0.35">
      <c r="B64" s="55" t="s">
        <v>216</v>
      </c>
      <c r="C64" s="56"/>
      <c r="D64" s="56"/>
      <c r="E64" s="56"/>
      <c r="F64" s="56"/>
      <c r="G64" s="56"/>
    </row>
    <row r="65" spans="2:7" ht="18" customHeight="1" x14ac:dyDescent="0.35">
      <c r="B65" s="56"/>
      <c r="C65" s="56"/>
      <c r="D65" s="56"/>
      <c r="E65" s="56"/>
      <c r="F65" s="56"/>
      <c r="G65" s="56"/>
    </row>
    <row r="66" spans="2:7" ht="20" customHeight="1" x14ac:dyDescent="0.45">
      <c r="B66" s="19" t="s">
        <v>137</v>
      </c>
    </row>
    <row r="67" spans="2:7" ht="22" customHeight="1" x14ac:dyDescent="0.35">
      <c r="B67" s="20" t="s">
        <v>138</v>
      </c>
      <c r="C67" s="20" t="s">
        <v>139</v>
      </c>
      <c r="D67" s="20" t="s">
        <v>140</v>
      </c>
      <c r="E67" s="20" t="s">
        <v>9</v>
      </c>
      <c r="F67" s="20" t="s">
        <v>141</v>
      </c>
    </row>
    <row r="68" spans="2:7" ht="20" customHeight="1" x14ac:dyDescent="0.35">
      <c r="B68" s="21" t="s">
        <v>217</v>
      </c>
      <c r="C68" s="22" t="s">
        <v>143</v>
      </c>
      <c r="D68" s="23">
        <v>1000</v>
      </c>
      <c r="E68" s="24" t="s">
        <v>144</v>
      </c>
      <c r="F68" s="25" t="s">
        <v>218</v>
      </c>
    </row>
    <row r="69" spans="2:7" ht="20" customHeight="1" x14ac:dyDescent="0.35">
      <c r="B69" s="21" t="s">
        <v>219</v>
      </c>
      <c r="C69" s="22" t="s">
        <v>220</v>
      </c>
      <c r="D69" s="23">
        <v>80</v>
      </c>
      <c r="E69" s="24" t="s">
        <v>144</v>
      </c>
      <c r="F69" s="25" t="s">
        <v>221</v>
      </c>
    </row>
    <row r="70" spans="2:7" ht="20" customHeight="1" x14ac:dyDescent="0.35">
      <c r="B70" s="21" t="s">
        <v>222</v>
      </c>
      <c r="C70" s="22" t="s">
        <v>159</v>
      </c>
      <c r="D70" s="23">
        <v>50</v>
      </c>
      <c r="E70" s="24" t="s">
        <v>144</v>
      </c>
      <c r="F70" s="25" t="s">
        <v>223</v>
      </c>
    </row>
    <row r="71" spans="2:7" ht="20" customHeight="1" x14ac:dyDescent="0.35">
      <c r="B71" s="21" t="s">
        <v>182</v>
      </c>
      <c r="C71" s="22" t="s">
        <v>147</v>
      </c>
      <c r="D71" s="23">
        <v>4000</v>
      </c>
      <c r="E71" s="24" t="s">
        <v>77</v>
      </c>
      <c r="F71" s="25" t="s">
        <v>224</v>
      </c>
    </row>
    <row r="73" spans="2:7" ht="20" customHeight="1" x14ac:dyDescent="0.45">
      <c r="B73" s="19" t="s">
        <v>161</v>
      </c>
    </row>
    <row r="74" spans="2:7" ht="24" customHeight="1" x14ac:dyDescent="0.35">
      <c r="B74" s="27" t="s">
        <v>162</v>
      </c>
      <c r="C74" s="27" t="s">
        <v>139</v>
      </c>
      <c r="D74" s="27" t="s">
        <v>163</v>
      </c>
      <c r="E74" s="27" t="s">
        <v>164</v>
      </c>
      <c r="F74" s="27" t="s">
        <v>9</v>
      </c>
      <c r="G74" s="27" t="s">
        <v>165</v>
      </c>
    </row>
    <row r="75" spans="2:7" ht="22" customHeight="1" x14ac:dyDescent="0.35">
      <c r="B75" s="21" t="s">
        <v>225</v>
      </c>
      <c r="C75" s="22" t="s">
        <v>226</v>
      </c>
      <c r="D75" s="28" t="s">
        <v>227</v>
      </c>
      <c r="E75" s="29">
        <f>D69+D70</f>
        <v>130</v>
      </c>
      <c r="F75" s="24" t="s">
        <v>144</v>
      </c>
      <c r="G75" s="25" t="s">
        <v>228</v>
      </c>
    </row>
    <row r="76" spans="2:7" ht="22" customHeight="1" x14ac:dyDescent="0.35">
      <c r="B76" s="21" t="s">
        <v>229</v>
      </c>
      <c r="C76" s="22" t="s">
        <v>167</v>
      </c>
      <c r="D76" s="28" t="s">
        <v>230</v>
      </c>
      <c r="E76" s="29">
        <f>D68-E75</f>
        <v>870</v>
      </c>
      <c r="F76" s="24" t="s">
        <v>144</v>
      </c>
      <c r="G76" s="25" t="s">
        <v>231</v>
      </c>
    </row>
    <row r="77" spans="2:7" ht="22" customHeight="1" x14ac:dyDescent="0.35">
      <c r="B77" s="21" t="s">
        <v>185</v>
      </c>
      <c r="C77" s="22" t="s">
        <v>186</v>
      </c>
      <c r="D77" s="28" t="s">
        <v>232</v>
      </c>
      <c r="E77" s="16">
        <f>E76/D68</f>
        <v>0.87</v>
      </c>
      <c r="F77" s="24" t="s">
        <v>27</v>
      </c>
      <c r="G77" s="25" t="s">
        <v>233</v>
      </c>
    </row>
    <row r="78" spans="2:7" ht="22" customHeight="1" x14ac:dyDescent="0.35">
      <c r="B78" s="21" t="s">
        <v>234</v>
      </c>
      <c r="C78" s="22" t="s">
        <v>190</v>
      </c>
      <c r="D78" s="28" t="s">
        <v>235</v>
      </c>
      <c r="E78" s="16">
        <f>1-E77</f>
        <v>0.13</v>
      </c>
      <c r="F78" s="24" t="s">
        <v>27</v>
      </c>
      <c r="G78" s="25" t="s">
        <v>236</v>
      </c>
    </row>
    <row r="79" spans="2:7" ht="24" customHeight="1" x14ac:dyDescent="0.35">
      <c r="B79" s="58" t="s">
        <v>237</v>
      </c>
      <c r="C79" s="59"/>
      <c r="D79" s="59"/>
      <c r="E79" s="59"/>
      <c r="F79" s="59"/>
      <c r="G79" s="59"/>
    </row>
    <row r="82" spans="2:7" ht="24" customHeight="1" x14ac:dyDescent="0.35">
      <c r="B82" s="60" t="s">
        <v>238</v>
      </c>
      <c r="C82" s="53"/>
      <c r="D82" s="53"/>
      <c r="E82" s="53"/>
      <c r="F82" s="53"/>
      <c r="G82" s="53"/>
    </row>
    <row r="83" spans="2:7" ht="18" customHeight="1" x14ac:dyDescent="0.35">
      <c r="B83" s="55" t="s">
        <v>239</v>
      </c>
      <c r="C83" s="56"/>
      <c r="D83" s="56"/>
      <c r="E83" s="56"/>
      <c r="F83" s="56"/>
      <c r="G83" s="56"/>
    </row>
    <row r="84" spans="2:7" ht="18" customHeight="1" x14ac:dyDescent="0.35">
      <c r="B84" s="56"/>
      <c r="C84" s="56"/>
      <c r="D84" s="56"/>
      <c r="E84" s="56"/>
      <c r="F84" s="56"/>
      <c r="G84" s="56"/>
    </row>
    <row r="85" spans="2:7" ht="20" customHeight="1" x14ac:dyDescent="0.45">
      <c r="B85" s="19" t="s">
        <v>137</v>
      </c>
    </row>
    <row r="86" spans="2:7" ht="22" customHeight="1" x14ac:dyDescent="0.35">
      <c r="B86" s="20" t="s">
        <v>138</v>
      </c>
      <c r="C86" s="20" t="s">
        <v>139</v>
      </c>
      <c r="D86" s="20" t="s">
        <v>140</v>
      </c>
      <c r="E86" s="20" t="s">
        <v>9</v>
      </c>
      <c r="F86" s="20" t="s">
        <v>141</v>
      </c>
    </row>
    <row r="87" spans="2:7" ht="20" customHeight="1" x14ac:dyDescent="0.35">
      <c r="B87" s="21" t="s">
        <v>240</v>
      </c>
      <c r="C87" s="22" t="s">
        <v>143</v>
      </c>
      <c r="D87" s="23">
        <v>1000</v>
      </c>
      <c r="E87" s="24" t="s">
        <v>144</v>
      </c>
      <c r="F87" s="25" t="s">
        <v>241</v>
      </c>
    </row>
    <row r="88" spans="2:7" ht="20" customHeight="1" x14ac:dyDescent="0.35">
      <c r="B88" s="21" t="s">
        <v>242</v>
      </c>
      <c r="C88" s="22" t="s">
        <v>243</v>
      </c>
      <c r="D88" s="23">
        <v>1300</v>
      </c>
      <c r="E88" s="24" t="s">
        <v>77</v>
      </c>
      <c r="F88" s="25" t="s">
        <v>244</v>
      </c>
    </row>
    <row r="89" spans="2:7" ht="20" customHeight="1" x14ac:dyDescent="0.35">
      <c r="B89" s="21" t="s">
        <v>245</v>
      </c>
      <c r="C89" s="22" t="s">
        <v>220</v>
      </c>
      <c r="D89" s="23">
        <v>288</v>
      </c>
      <c r="E89" s="24" t="s">
        <v>144</v>
      </c>
      <c r="F89" s="25" t="s">
        <v>246</v>
      </c>
    </row>
    <row r="90" spans="2:7" ht="20" customHeight="1" x14ac:dyDescent="0.35">
      <c r="B90" s="21" t="s">
        <v>247</v>
      </c>
      <c r="C90" s="22" t="s">
        <v>248</v>
      </c>
      <c r="D90" s="23">
        <v>1400</v>
      </c>
      <c r="E90" s="24" t="s">
        <v>77</v>
      </c>
      <c r="F90" s="25" t="s">
        <v>249</v>
      </c>
    </row>
    <row r="91" spans="2:7" ht="20" customHeight="1" x14ac:dyDescent="0.35">
      <c r="B91" s="21" t="s">
        <v>202</v>
      </c>
      <c r="C91" s="22" t="s">
        <v>156</v>
      </c>
      <c r="D91" s="26">
        <f>D90-D88</f>
        <v>100</v>
      </c>
      <c r="E91" s="24" t="s">
        <v>77</v>
      </c>
      <c r="F91" s="25" t="s">
        <v>250</v>
      </c>
    </row>
    <row r="92" spans="2:7" ht="20" customHeight="1" x14ac:dyDescent="0.35">
      <c r="B92" s="21" t="s">
        <v>251</v>
      </c>
      <c r="C92" s="22" t="s">
        <v>159</v>
      </c>
      <c r="D92" s="23">
        <v>13</v>
      </c>
      <c r="E92" s="24" t="s">
        <v>144</v>
      </c>
      <c r="F92" s="25" t="s">
        <v>252</v>
      </c>
    </row>
    <row r="94" spans="2:7" ht="20" customHeight="1" x14ac:dyDescent="0.45">
      <c r="B94" s="19" t="s">
        <v>161</v>
      </c>
    </row>
    <row r="95" spans="2:7" ht="24" customHeight="1" x14ac:dyDescent="0.35">
      <c r="B95" s="27" t="s">
        <v>162</v>
      </c>
      <c r="C95" s="27" t="s">
        <v>139</v>
      </c>
      <c r="D95" s="27" t="s">
        <v>163</v>
      </c>
      <c r="E95" s="27" t="s">
        <v>164</v>
      </c>
      <c r="F95" s="27" t="s">
        <v>9</v>
      </c>
      <c r="G95" s="27" t="s">
        <v>165</v>
      </c>
    </row>
    <row r="96" spans="2:7" ht="22" customHeight="1" x14ac:dyDescent="0.35">
      <c r="B96" s="21" t="s">
        <v>253</v>
      </c>
      <c r="C96" s="22" t="s">
        <v>254</v>
      </c>
      <c r="D96" s="28" t="s">
        <v>255</v>
      </c>
      <c r="E96" s="29">
        <f>D87-D89</f>
        <v>712</v>
      </c>
      <c r="F96" s="24" t="s">
        <v>144</v>
      </c>
      <c r="G96" s="25" t="s">
        <v>256</v>
      </c>
    </row>
    <row r="97" spans="2:7" ht="22" customHeight="1" x14ac:dyDescent="0.35">
      <c r="B97" s="21" t="s">
        <v>257</v>
      </c>
      <c r="C97" s="22" t="s">
        <v>258</v>
      </c>
      <c r="D97" s="28" t="s">
        <v>259</v>
      </c>
      <c r="E97" s="29">
        <f>E96-D92</f>
        <v>699</v>
      </c>
      <c r="F97" s="24" t="s">
        <v>144</v>
      </c>
      <c r="G97" s="25" t="s">
        <v>260</v>
      </c>
    </row>
    <row r="98" spans="2:7" ht="22" customHeight="1" x14ac:dyDescent="0.35">
      <c r="B98" s="21" t="s">
        <v>261</v>
      </c>
      <c r="C98" s="22" t="s">
        <v>262</v>
      </c>
      <c r="D98" s="28" t="s">
        <v>263</v>
      </c>
      <c r="E98" s="16">
        <f>E96/D87</f>
        <v>0.71199999999999997</v>
      </c>
      <c r="F98" s="24" t="s">
        <v>27</v>
      </c>
      <c r="G98" s="25" t="s">
        <v>264</v>
      </c>
    </row>
    <row r="99" spans="2:7" ht="22" customHeight="1" x14ac:dyDescent="0.35">
      <c r="B99" s="21" t="s">
        <v>265</v>
      </c>
      <c r="C99" s="22" t="s">
        <v>266</v>
      </c>
      <c r="D99" s="28" t="s">
        <v>267</v>
      </c>
      <c r="E99" s="16">
        <f>E97/D87</f>
        <v>0.69899999999999995</v>
      </c>
      <c r="F99" s="24" t="s">
        <v>27</v>
      </c>
      <c r="G99" s="25" t="s">
        <v>268</v>
      </c>
    </row>
    <row r="100" spans="2:7" ht="22" customHeight="1" x14ac:dyDescent="0.35">
      <c r="B100" s="21" t="s">
        <v>269</v>
      </c>
      <c r="C100" s="22" t="s">
        <v>270</v>
      </c>
      <c r="D100" s="28" t="s">
        <v>271</v>
      </c>
      <c r="E100" s="17">
        <f>D92/(D87*D91)</f>
        <v>1.2999999999999999E-4</v>
      </c>
      <c r="F100" s="24" t="s">
        <v>16</v>
      </c>
      <c r="G100" s="25" t="s">
        <v>272</v>
      </c>
    </row>
    <row r="101" spans="2:7" ht="22" customHeight="1" x14ac:dyDescent="0.35">
      <c r="B101" s="21" t="s">
        <v>273</v>
      </c>
      <c r="C101" s="22" t="s">
        <v>274</v>
      </c>
      <c r="D101" s="28" t="s">
        <v>275</v>
      </c>
      <c r="E101" s="17">
        <f>D92/(E96*D91)</f>
        <v>1.8258426966292135E-4</v>
      </c>
      <c r="F101" s="24" t="s">
        <v>16</v>
      </c>
      <c r="G101" s="25" t="s">
        <v>276</v>
      </c>
    </row>
    <row r="102" spans="2:7" ht="24" customHeight="1" x14ac:dyDescent="0.35">
      <c r="B102" s="58" t="s">
        <v>277</v>
      </c>
      <c r="C102" s="59"/>
      <c r="D102" s="59"/>
      <c r="E102" s="59"/>
      <c r="F102" s="59"/>
      <c r="G102" s="59"/>
    </row>
    <row r="105" spans="2:7" ht="24" customHeight="1" x14ac:dyDescent="0.35">
      <c r="B105" s="60" t="s">
        <v>278</v>
      </c>
      <c r="C105" s="53"/>
      <c r="D105" s="53"/>
      <c r="E105" s="53"/>
      <c r="F105" s="53"/>
      <c r="G105" s="53"/>
    </row>
    <row r="106" spans="2:7" ht="18" customHeight="1" x14ac:dyDescent="0.35">
      <c r="B106" s="55" t="s">
        <v>279</v>
      </c>
      <c r="C106" s="56"/>
      <c r="D106" s="56"/>
      <c r="E106" s="56"/>
      <c r="F106" s="56"/>
      <c r="G106" s="56"/>
    </row>
    <row r="107" spans="2:7" ht="18" customHeight="1" x14ac:dyDescent="0.35">
      <c r="B107" s="56"/>
      <c r="C107" s="56"/>
      <c r="D107" s="56"/>
      <c r="E107" s="56"/>
      <c r="F107" s="56"/>
      <c r="G107" s="56"/>
    </row>
    <row r="108" spans="2:7" ht="20" customHeight="1" x14ac:dyDescent="0.45">
      <c r="B108" s="19" t="s">
        <v>137</v>
      </c>
    </row>
    <row r="109" spans="2:7" ht="22" customHeight="1" x14ac:dyDescent="0.35">
      <c r="B109" s="20" t="s">
        <v>138</v>
      </c>
      <c r="C109" s="20" t="s">
        <v>139</v>
      </c>
      <c r="D109" s="20" t="s">
        <v>140</v>
      </c>
      <c r="E109" s="20" t="s">
        <v>9</v>
      </c>
      <c r="F109" s="20" t="s">
        <v>141</v>
      </c>
    </row>
    <row r="110" spans="2:7" ht="20" customHeight="1" x14ac:dyDescent="0.35">
      <c r="B110" s="21" t="s">
        <v>240</v>
      </c>
      <c r="C110" s="22" t="s">
        <v>143</v>
      </c>
      <c r="D110" s="23">
        <v>45</v>
      </c>
      <c r="E110" s="24" t="s">
        <v>144</v>
      </c>
      <c r="F110" s="25" t="s">
        <v>280</v>
      </c>
    </row>
    <row r="111" spans="2:7" ht="20" customHeight="1" x14ac:dyDescent="0.35">
      <c r="B111" s="21" t="s">
        <v>242</v>
      </c>
      <c r="C111" s="22" t="s">
        <v>243</v>
      </c>
      <c r="D111" s="23">
        <v>60</v>
      </c>
      <c r="E111" s="24" t="s">
        <v>77</v>
      </c>
      <c r="F111" s="25" t="s">
        <v>281</v>
      </c>
    </row>
    <row r="112" spans="2:7" ht="20" customHeight="1" x14ac:dyDescent="0.35">
      <c r="B112" s="21" t="s">
        <v>245</v>
      </c>
      <c r="C112" s="22" t="s">
        <v>220</v>
      </c>
      <c r="D112" s="23">
        <v>35</v>
      </c>
      <c r="E112" s="24" t="s">
        <v>144</v>
      </c>
      <c r="F112" s="25" t="s">
        <v>282</v>
      </c>
    </row>
    <row r="113" spans="2:7" ht="20" customHeight="1" x14ac:dyDescent="0.35">
      <c r="B113" s="21" t="s">
        <v>247</v>
      </c>
      <c r="C113" s="22" t="s">
        <v>248</v>
      </c>
      <c r="D113" s="23">
        <v>65</v>
      </c>
      <c r="E113" s="24" t="s">
        <v>77</v>
      </c>
      <c r="F113" s="25" t="s">
        <v>201</v>
      </c>
    </row>
    <row r="114" spans="2:7" ht="20" customHeight="1" x14ac:dyDescent="0.35">
      <c r="B114" s="21" t="s">
        <v>202</v>
      </c>
      <c r="C114" s="22" t="s">
        <v>156</v>
      </c>
      <c r="D114" s="26">
        <f>D113-D111</f>
        <v>5</v>
      </c>
      <c r="E114" s="24" t="s">
        <v>77</v>
      </c>
      <c r="F114" s="25" t="s">
        <v>283</v>
      </c>
    </row>
    <row r="115" spans="2:7" ht="20" customHeight="1" x14ac:dyDescent="0.35">
      <c r="B115" s="21" t="s">
        <v>284</v>
      </c>
      <c r="C115" s="22" t="s">
        <v>159</v>
      </c>
      <c r="D115" s="23">
        <v>3</v>
      </c>
      <c r="E115" s="24" t="s">
        <v>144</v>
      </c>
      <c r="F115" s="25" t="s">
        <v>285</v>
      </c>
    </row>
    <row r="117" spans="2:7" ht="20" customHeight="1" x14ac:dyDescent="0.45">
      <c r="B117" s="19" t="s">
        <v>161</v>
      </c>
    </row>
    <row r="118" spans="2:7" ht="24" customHeight="1" x14ac:dyDescent="0.35">
      <c r="B118" s="27" t="s">
        <v>162</v>
      </c>
      <c r="C118" s="27" t="s">
        <v>139</v>
      </c>
      <c r="D118" s="27" t="s">
        <v>163</v>
      </c>
      <c r="E118" s="27" t="s">
        <v>164</v>
      </c>
      <c r="F118" s="27" t="s">
        <v>9</v>
      </c>
      <c r="G118" s="27" t="s">
        <v>165</v>
      </c>
    </row>
    <row r="119" spans="2:7" ht="22" customHeight="1" x14ac:dyDescent="0.35">
      <c r="B119" s="21" t="s">
        <v>286</v>
      </c>
      <c r="C119" s="22" t="s">
        <v>254</v>
      </c>
      <c r="D119" s="28" t="s">
        <v>287</v>
      </c>
      <c r="E119" s="29">
        <f>D110-D112</f>
        <v>10</v>
      </c>
      <c r="F119" s="24" t="s">
        <v>144</v>
      </c>
      <c r="G119" s="25" t="s">
        <v>288</v>
      </c>
    </row>
    <row r="120" spans="2:7" ht="22" customHeight="1" x14ac:dyDescent="0.35">
      <c r="B120" s="21" t="s">
        <v>289</v>
      </c>
      <c r="C120" s="22" t="s">
        <v>258</v>
      </c>
      <c r="D120" s="28" t="s">
        <v>290</v>
      </c>
      <c r="E120" s="29">
        <f>E119-D115</f>
        <v>7</v>
      </c>
      <c r="F120" s="24" t="s">
        <v>144</v>
      </c>
      <c r="G120" s="25" t="s">
        <v>291</v>
      </c>
    </row>
    <row r="121" spans="2:7" ht="22" customHeight="1" x14ac:dyDescent="0.35">
      <c r="B121" s="21" t="s">
        <v>292</v>
      </c>
      <c r="C121" s="22" t="s">
        <v>293</v>
      </c>
      <c r="D121" s="28" t="s">
        <v>294</v>
      </c>
      <c r="E121" s="16">
        <f>E119/D110</f>
        <v>0.22222222222222221</v>
      </c>
      <c r="F121" s="24" t="s">
        <v>27</v>
      </c>
      <c r="G121" s="25" t="s">
        <v>295</v>
      </c>
    </row>
    <row r="122" spans="2:7" ht="22" customHeight="1" x14ac:dyDescent="0.35">
      <c r="B122" s="21" t="s">
        <v>296</v>
      </c>
      <c r="C122" s="22" t="s">
        <v>297</v>
      </c>
      <c r="D122" s="28" t="s">
        <v>298</v>
      </c>
      <c r="E122" s="16">
        <f>E120/D110</f>
        <v>0.15555555555555556</v>
      </c>
      <c r="F122" s="24" t="s">
        <v>27</v>
      </c>
      <c r="G122" s="25" t="s">
        <v>299</v>
      </c>
    </row>
    <row r="123" spans="2:7" ht="22" customHeight="1" x14ac:dyDescent="0.35">
      <c r="B123" s="21" t="s">
        <v>300</v>
      </c>
      <c r="C123" s="22" t="s">
        <v>301</v>
      </c>
      <c r="D123" s="28" t="s">
        <v>271</v>
      </c>
      <c r="E123" s="17">
        <f>D115/(D110*D114)</f>
        <v>1.3333333333333334E-2</v>
      </c>
      <c r="F123" s="24" t="s">
        <v>16</v>
      </c>
      <c r="G123" s="25" t="s">
        <v>302</v>
      </c>
    </row>
    <row r="124" spans="2:7" ht="22" customHeight="1" x14ac:dyDescent="0.35">
      <c r="B124" s="21" t="s">
        <v>303</v>
      </c>
      <c r="C124" s="22" t="s">
        <v>304</v>
      </c>
      <c r="D124" s="28" t="s">
        <v>305</v>
      </c>
      <c r="E124" s="17">
        <f>D115/(E119*D114)</f>
        <v>0.06</v>
      </c>
      <c r="F124" s="24" t="s">
        <v>16</v>
      </c>
      <c r="G124" s="25" t="s">
        <v>306</v>
      </c>
    </row>
    <row r="125" spans="2:7" ht="24" customHeight="1" x14ac:dyDescent="0.35">
      <c r="B125" s="58" t="s">
        <v>307</v>
      </c>
      <c r="C125" s="59"/>
      <c r="D125" s="59"/>
      <c r="E125" s="59"/>
      <c r="F125" s="59"/>
      <c r="G125" s="59"/>
    </row>
    <row r="128" spans="2:7" ht="24" customHeight="1" x14ac:dyDescent="0.45">
      <c r="B128" s="57" t="s">
        <v>308</v>
      </c>
      <c r="C128" s="53"/>
      <c r="D128" s="53"/>
      <c r="E128" s="53"/>
      <c r="F128" s="53"/>
      <c r="G128" s="53"/>
    </row>
    <row r="129" spans="2:7" ht="18" customHeight="1" x14ac:dyDescent="0.35">
      <c r="B129" s="55" t="s">
        <v>309</v>
      </c>
      <c r="C129" s="56"/>
      <c r="D129" s="56"/>
      <c r="E129" s="56"/>
      <c r="F129" s="56"/>
      <c r="G129" s="56"/>
    </row>
    <row r="130" spans="2:7" ht="18" customHeight="1" x14ac:dyDescent="0.35">
      <c r="B130" s="56"/>
      <c r="C130" s="56"/>
      <c r="D130" s="56"/>
      <c r="E130" s="56"/>
      <c r="F130" s="56"/>
      <c r="G130" s="56"/>
    </row>
    <row r="131" spans="2:7" ht="20" customHeight="1" x14ac:dyDescent="0.45">
      <c r="B131" s="19" t="s">
        <v>310</v>
      </c>
    </row>
    <row r="132" spans="2:7" ht="25" customHeight="1" x14ac:dyDescent="0.35">
      <c r="B132" s="2" t="s">
        <v>311</v>
      </c>
      <c r="C132" s="2" t="s">
        <v>312</v>
      </c>
      <c r="D132" s="2" t="s">
        <v>313</v>
      </c>
      <c r="E132" s="2" t="s">
        <v>314</v>
      </c>
      <c r="F132" s="2" t="s">
        <v>315</v>
      </c>
      <c r="G132" s="2" t="s">
        <v>141</v>
      </c>
    </row>
    <row r="133" spans="2:7" ht="20" customHeight="1" x14ac:dyDescent="0.35">
      <c r="B133" s="24">
        <v>1</v>
      </c>
      <c r="C133" s="24" t="s">
        <v>316</v>
      </c>
      <c r="D133" s="30">
        <v>5</v>
      </c>
      <c r="E133" s="31">
        <v>19</v>
      </c>
      <c r="F133" s="32">
        <f t="shared" ref="F133:F139" si="0">D133*E133</f>
        <v>95</v>
      </c>
      <c r="G133" s="25" t="s">
        <v>317</v>
      </c>
    </row>
    <row r="134" spans="2:7" ht="20" customHeight="1" x14ac:dyDescent="0.35">
      <c r="B134" s="24">
        <v>2</v>
      </c>
      <c r="C134" s="24" t="s">
        <v>318</v>
      </c>
      <c r="D134" s="30">
        <v>15</v>
      </c>
      <c r="E134" s="31">
        <v>13</v>
      </c>
      <c r="F134" s="32">
        <f t="shared" si="0"/>
        <v>195</v>
      </c>
      <c r="G134" s="25" t="s">
        <v>319</v>
      </c>
    </row>
    <row r="135" spans="2:7" ht="20" customHeight="1" x14ac:dyDescent="0.35">
      <c r="B135" s="24">
        <v>3</v>
      </c>
      <c r="C135" s="24" t="s">
        <v>320</v>
      </c>
      <c r="D135" s="30">
        <v>25</v>
      </c>
      <c r="E135" s="31">
        <v>8</v>
      </c>
      <c r="F135" s="32">
        <f t="shared" si="0"/>
        <v>200</v>
      </c>
      <c r="G135" s="25" t="s">
        <v>321</v>
      </c>
    </row>
    <row r="136" spans="2:7" ht="20" customHeight="1" x14ac:dyDescent="0.35">
      <c r="B136" s="24">
        <v>4</v>
      </c>
      <c r="C136" s="24" t="s">
        <v>322</v>
      </c>
      <c r="D136" s="30">
        <v>35</v>
      </c>
      <c r="E136" s="31">
        <v>3</v>
      </c>
      <c r="F136" s="32">
        <f t="shared" si="0"/>
        <v>105</v>
      </c>
      <c r="G136" s="25" t="s">
        <v>323</v>
      </c>
    </row>
    <row r="137" spans="2:7" ht="20" customHeight="1" x14ac:dyDescent="0.35">
      <c r="B137" s="24">
        <v>5</v>
      </c>
      <c r="C137" s="24" t="s">
        <v>324</v>
      </c>
      <c r="D137" s="30">
        <v>45</v>
      </c>
      <c r="E137" s="31">
        <v>0</v>
      </c>
      <c r="F137" s="32">
        <f t="shared" si="0"/>
        <v>0</v>
      </c>
      <c r="G137" s="25" t="s">
        <v>325</v>
      </c>
    </row>
    <row r="138" spans="2:7" ht="20" customHeight="1" x14ac:dyDescent="0.35">
      <c r="B138" s="24">
        <v>6</v>
      </c>
      <c r="C138" s="24" t="s">
        <v>326</v>
      </c>
      <c r="D138" s="30">
        <v>55</v>
      </c>
      <c r="E138" s="31">
        <v>1</v>
      </c>
      <c r="F138" s="32">
        <f t="shared" si="0"/>
        <v>55</v>
      </c>
      <c r="G138" s="25" t="s">
        <v>327</v>
      </c>
    </row>
    <row r="139" spans="2:7" ht="20" customHeight="1" x14ac:dyDescent="0.35">
      <c r="B139" s="24">
        <v>7</v>
      </c>
      <c r="C139" s="24" t="s">
        <v>328</v>
      </c>
      <c r="D139" s="30">
        <v>65</v>
      </c>
      <c r="E139" s="31">
        <v>1</v>
      </c>
      <c r="F139" s="32">
        <f t="shared" si="0"/>
        <v>65</v>
      </c>
      <c r="G139" s="25" t="s">
        <v>329</v>
      </c>
    </row>
    <row r="140" spans="2:7" ht="22" customHeight="1" x14ac:dyDescent="0.35">
      <c r="B140" s="61" t="s">
        <v>330</v>
      </c>
      <c r="C140" s="62"/>
      <c r="D140" s="62"/>
      <c r="E140" s="33">
        <f>SUM(E133:E139)</f>
        <v>45</v>
      </c>
      <c r="F140" s="34">
        <f>SUM(F133:F139)</f>
        <v>715</v>
      </c>
      <c r="G140" s="35" t="s">
        <v>331</v>
      </c>
    </row>
    <row r="142" spans="2:7" ht="20" customHeight="1" x14ac:dyDescent="0.45">
      <c r="B142" s="19" t="s">
        <v>332</v>
      </c>
    </row>
    <row r="143" spans="2:7" ht="24" customHeight="1" x14ac:dyDescent="0.35">
      <c r="B143" s="27" t="s">
        <v>162</v>
      </c>
      <c r="C143" s="27" t="s">
        <v>139</v>
      </c>
      <c r="D143" s="27" t="s">
        <v>163</v>
      </c>
      <c r="E143" s="27" t="s">
        <v>164</v>
      </c>
      <c r="F143" s="27" t="s">
        <v>9</v>
      </c>
      <c r="G143" s="27" t="s">
        <v>165</v>
      </c>
    </row>
    <row r="144" spans="2:7" ht="22" customHeight="1" x14ac:dyDescent="0.35">
      <c r="B144" s="21" t="s">
        <v>333</v>
      </c>
      <c r="C144" s="22" t="s">
        <v>334</v>
      </c>
      <c r="D144" s="28">
        <f>F140</f>
        <v>715</v>
      </c>
      <c r="E144" s="36">
        <f>F140</f>
        <v>715</v>
      </c>
      <c r="F144" s="24" t="s">
        <v>335</v>
      </c>
      <c r="G144" s="25" t="s">
        <v>336</v>
      </c>
    </row>
    <row r="145" spans="2:7" ht="22" customHeight="1" x14ac:dyDescent="0.35">
      <c r="B145" s="21" t="s">
        <v>337</v>
      </c>
      <c r="C145" s="22" t="s">
        <v>143</v>
      </c>
      <c r="D145" s="28">
        <f>E140</f>
        <v>45</v>
      </c>
      <c r="E145" s="37">
        <f>E140</f>
        <v>45</v>
      </c>
      <c r="F145" s="24" t="s">
        <v>144</v>
      </c>
      <c r="G145" s="25" t="s">
        <v>338</v>
      </c>
    </row>
    <row r="146" spans="2:7" ht="22" customHeight="1" x14ac:dyDescent="0.35">
      <c r="B146" s="21" t="s">
        <v>339</v>
      </c>
      <c r="C146" s="22" t="s">
        <v>340</v>
      </c>
      <c r="D146" s="28" t="s">
        <v>341</v>
      </c>
      <c r="E146" s="18">
        <f>F140/E140</f>
        <v>15.888888888888889</v>
      </c>
      <c r="F146" s="24" t="s">
        <v>77</v>
      </c>
      <c r="G146" s="25" t="s">
        <v>342</v>
      </c>
    </row>
    <row r="147" spans="2:7" ht="22" customHeight="1" x14ac:dyDescent="0.35">
      <c r="B147" s="21" t="s">
        <v>343</v>
      </c>
      <c r="C147" s="22" t="s">
        <v>344</v>
      </c>
      <c r="D147" s="28" t="s">
        <v>345</v>
      </c>
      <c r="E147" s="18">
        <f>80+F140/E140</f>
        <v>95.888888888888886</v>
      </c>
      <c r="F147" s="24" t="s">
        <v>77</v>
      </c>
      <c r="G147" s="25" t="s">
        <v>346</v>
      </c>
    </row>
    <row r="148" spans="2:7" ht="24" customHeight="1" x14ac:dyDescent="0.35">
      <c r="B148" s="58" t="s">
        <v>347</v>
      </c>
      <c r="C148" s="59"/>
      <c r="D148" s="59"/>
      <c r="E148" s="59"/>
      <c r="F148" s="59"/>
      <c r="G148" s="59"/>
    </row>
    <row r="151" spans="2:7" ht="24" customHeight="1" x14ac:dyDescent="0.45">
      <c r="B151" s="57" t="s">
        <v>348</v>
      </c>
      <c r="C151" s="53"/>
      <c r="D151" s="53"/>
      <c r="E151" s="53"/>
      <c r="F151" s="53"/>
      <c r="G151" s="53"/>
    </row>
    <row r="152" spans="2:7" ht="18" customHeight="1" x14ac:dyDescent="0.35">
      <c r="B152" s="55" t="s">
        <v>349</v>
      </c>
      <c r="C152" s="56"/>
      <c r="D152" s="56"/>
      <c r="E152" s="56"/>
      <c r="F152" s="56"/>
      <c r="G152" s="56"/>
    </row>
    <row r="153" spans="2:7" ht="18" customHeight="1" x14ac:dyDescent="0.35">
      <c r="B153" s="56"/>
      <c r="C153" s="56"/>
      <c r="D153" s="56"/>
      <c r="E153" s="56"/>
      <c r="F153" s="56"/>
      <c r="G153" s="56"/>
    </row>
    <row r="154" spans="2:7" ht="20" customHeight="1" x14ac:dyDescent="0.45">
      <c r="B154" s="19" t="s">
        <v>350</v>
      </c>
    </row>
    <row r="155" spans="2:7" ht="25" customHeight="1" x14ac:dyDescent="0.35">
      <c r="B155" s="2" t="s">
        <v>351</v>
      </c>
      <c r="C155" s="2" t="s">
        <v>139</v>
      </c>
      <c r="D155" s="2" t="s">
        <v>352</v>
      </c>
      <c r="E155" s="2" t="s">
        <v>353</v>
      </c>
      <c r="F155" s="2" t="s">
        <v>354</v>
      </c>
      <c r="G155" s="2" t="s">
        <v>141</v>
      </c>
    </row>
    <row r="156" spans="2:7" ht="20" customHeight="1" x14ac:dyDescent="0.35">
      <c r="B156" s="24">
        <v>1</v>
      </c>
      <c r="C156" s="22" t="s">
        <v>243</v>
      </c>
      <c r="D156" s="32">
        <v>560</v>
      </c>
      <c r="E156" s="38">
        <f t="shared" ref="E156:E163" si="1">D156-$E$169</f>
        <v>-167.5</v>
      </c>
      <c r="F156" s="39">
        <f t="shared" ref="F156:F163" si="2">E156^2</f>
        <v>28056.25</v>
      </c>
      <c r="G156" s="25" t="s">
        <v>355</v>
      </c>
    </row>
    <row r="157" spans="2:7" ht="20" customHeight="1" x14ac:dyDescent="0.35">
      <c r="B157" s="24">
        <v>2</v>
      </c>
      <c r="C157" s="22" t="s">
        <v>248</v>
      </c>
      <c r="D157" s="32">
        <v>700</v>
      </c>
      <c r="E157" s="38">
        <f t="shared" si="1"/>
        <v>-27.5</v>
      </c>
      <c r="F157" s="39">
        <f t="shared" si="2"/>
        <v>756.25</v>
      </c>
      <c r="G157" s="25" t="s">
        <v>356</v>
      </c>
    </row>
    <row r="158" spans="2:7" ht="20" customHeight="1" x14ac:dyDescent="0.35">
      <c r="B158" s="24">
        <v>3</v>
      </c>
      <c r="C158" s="22" t="s">
        <v>357</v>
      </c>
      <c r="D158" s="32">
        <v>800</v>
      </c>
      <c r="E158" s="38">
        <f t="shared" si="1"/>
        <v>72.5</v>
      </c>
      <c r="F158" s="39">
        <f t="shared" si="2"/>
        <v>5256.25</v>
      </c>
      <c r="G158" s="25" t="s">
        <v>358</v>
      </c>
    </row>
    <row r="159" spans="2:7" ht="20" customHeight="1" x14ac:dyDescent="0.35">
      <c r="B159" s="24">
        <v>4</v>
      </c>
      <c r="C159" s="22" t="s">
        <v>359</v>
      </c>
      <c r="D159" s="32">
        <v>650</v>
      </c>
      <c r="E159" s="38">
        <f t="shared" si="1"/>
        <v>-77.5</v>
      </c>
      <c r="F159" s="39">
        <f t="shared" si="2"/>
        <v>6006.25</v>
      </c>
      <c r="G159" s="25" t="s">
        <v>360</v>
      </c>
    </row>
    <row r="160" spans="2:7" ht="20" customHeight="1" x14ac:dyDescent="0.35">
      <c r="B160" s="24">
        <v>5</v>
      </c>
      <c r="C160" s="22" t="s">
        <v>361</v>
      </c>
      <c r="D160" s="32">
        <v>580</v>
      </c>
      <c r="E160" s="38">
        <f t="shared" si="1"/>
        <v>-147.5</v>
      </c>
      <c r="F160" s="39">
        <f t="shared" si="2"/>
        <v>21756.25</v>
      </c>
      <c r="G160" s="25" t="s">
        <v>362</v>
      </c>
    </row>
    <row r="161" spans="2:7" ht="20" customHeight="1" x14ac:dyDescent="0.35">
      <c r="B161" s="24">
        <v>6</v>
      </c>
      <c r="C161" s="22" t="s">
        <v>363</v>
      </c>
      <c r="D161" s="32">
        <v>760</v>
      </c>
      <c r="E161" s="38">
        <f t="shared" si="1"/>
        <v>32.5</v>
      </c>
      <c r="F161" s="39">
        <f t="shared" si="2"/>
        <v>1056.25</v>
      </c>
      <c r="G161" s="25" t="s">
        <v>364</v>
      </c>
    </row>
    <row r="162" spans="2:7" ht="20" customHeight="1" x14ac:dyDescent="0.35">
      <c r="B162" s="24">
        <v>7</v>
      </c>
      <c r="C162" s="22" t="s">
        <v>365</v>
      </c>
      <c r="D162" s="32">
        <v>920</v>
      </c>
      <c r="E162" s="38">
        <f t="shared" si="1"/>
        <v>192.5</v>
      </c>
      <c r="F162" s="39">
        <f t="shared" si="2"/>
        <v>37056.25</v>
      </c>
      <c r="G162" s="25" t="s">
        <v>366</v>
      </c>
    </row>
    <row r="163" spans="2:7" ht="20" customHeight="1" x14ac:dyDescent="0.35">
      <c r="B163" s="24">
        <v>8</v>
      </c>
      <c r="C163" s="22" t="s">
        <v>367</v>
      </c>
      <c r="D163" s="32">
        <v>850</v>
      </c>
      <c r="E163" s="38">
        <f t="shared" si="1"/>
        <v>122.5</v>
      </c>
      <c r="F163" s="39">
        <f t="shared" si="2"/>
        <v>15006.25</v>
      </c>
      <c r="G163" s="25" t="s">
        <v>368</v>
      </c>
    </row>
    <row r="164" spans="2:7" ht="22" customHeight="1" x14ac:dyDescent="0.35">
      <c r="B164" s="61" t="s">
        <v>369</v>
      </c>
      <c r="C164" s="62"/>
      <c r="D164" s="34">
        <f>SUM(D156:D163)</f>
        <v>5820</v>
      </c>
      <c r="E164" s="40">
        <f>SUM(E156:E163)</f>
        <v>0</v>
      </c>
      <c r="F164" s="41">
        <f>SUM(F156:F163)</f>
        <v>114950</v>
      </c>
      <c r="G164" s="35" t="s">
        <v>370</v>
      </c>
    </row>
    <row r="166" spans="2:7" ht="20" customHeight="1" x14ac:dyDescent="0.45">
      <c r="B166" s="19" t="s">
        <v>371</v>
      </c>
    </row>
    <row r="167" spans="2:7" ht="24" customHeight="1" x14ac:dyDescent="0.35">
      <c r="B167" s="27" t="s">
        <v>162</v>
      </c>
      <c r="C167" s="27" t="s">
        <v>139</v>
      </c>
      <c r="D167" s="27" t="s">
        <v>163</v>
      </c>
      <c r="E167" s="27" t="s">
        <v>164</v>
      </c>
      <c r="F167" s="27" t="s">
        <v>9</v>
      </c>
      <c r="G167" s="27" t="s">
        <v>165</v>
      </c>
    </row>
    <row r="168" spans="2:7" ht="22" customHeight="1" x14ac:dyDescent="0.35">
      <c r="B168" s="21" t="s">
        <v>372</v>
      </c>
      <c r="C168" s="22" t="s">
        <v>143</v>
      </c>
      <c r="D168" s="28">
        <f>COUNT(D156:D163)</f>
        <v>8</v>
      </c>
      <c r="E168" s="29">
        <f>COUNT(D156:D163)</f>
        <v>8</v>
      </c>
      <c r="F168" s="24" t="s">
        <v>144</v>
      </c>
      <c r="G168" s="25" t="s">
        <v>373</v>
      </c>
    </row>
    <row r="169" spans="2:7" ht="22" customHeight="1" x14ac:dyDescent="0.35">
      <c r="B169" s="21" t="s">
        <v>374</v>
      </c>
      <c r="C169" s="22" t="s">
        <v>340</v>
      </c>
      <c r="D169" s="28" t="s">
        <v>375</v>
      </c>
      <c r="E169" s="18">
        <f>AVERAGE(D156:D163)</f>
        <v>727.5</v>
      </c>
      <c r="F169" s="24" t="s">
        <v>77</v>
      </c>
      <c r="G169" s="25" t="s">
        <v>376</v>
      </c>
    </row>
    <row r="170" spans="2:7" ht="22" customHeight="1" x14ac:dyDescent="0.35">
      <c r="B170" s="21" t="s">
        <v>377</v>
      </c>
      <c r="C170" s="22" t="s">
        <v>378</v>
      </c>
      <c r="D170" s="28" t="s">
        <v>379</v>
      </c>
      <c r="E170" s="18" t="e">
        <f ca="1">_xludf.VAR.S(D156:D163)</f>
        <v>#NAME?</v>
      </c>
      <c r="F170" s="24" t="s">
        <v>380</v>
      </c>
      <c r="G170" s="25" t="s">
        <v>381</v>
      </c>
    </row>
    <row r="171" spans="2:7" ht="22" customHeight="1" x14ac:dyDescent="0.35">
      <c r="B171" s="21" t="s">
        <v>382</v>
      </c>
      <c r="C171" s="22" t="s">
        <v>383</v>
      </c>
      <c r="D171" s="28" t="s">
        <v>384</v>
      </c>
      <c r="E171" s="18" t="e">
        <f ca="1">_xludf.STDEV.S(D156:D163)</f>
        <v>#NAME?</v>
      </c>
      <c r="F171" s="24" t="s">
        <v>77</v>
      </c>
      <c r="G171" s="25" t="s">
        <v>385</v>
      </c>
    </row>
    <row r="172" spans="2:7" ht="22" customHeight="1" x14ac:dyDescent="0.35">
      <c r="B172" s="21" t="s">
        <v>386</v>
      </c>
      <c r="C172" s="22" t="s">
        <v>387</v>
      </c>
      <c r="D172" s="28" t="s">
        <v>388</v>
      </c>
      <c r="E172" s="16" t="e">
        <f ca="1">E171/E169</f>
        <v>#NAME?</v>
      </c>
      <c r="F172" s="24" t="s">
        <v>27</v>
      </c>
      <c r="G172" s="25" t="s">
        <v>389</v>
      </c>
    </row>
    <row r="173" spans="2:7" ht="24" customHeight="1" x14ac:dyDescent="0.35">
      <c r="B173" s="58" t="s">
        <v>390</v>
      </c>
      <c r="C173" s="59"/>
      <c r="D173" s="59"/>
      <c r="E173" s="59"/>
      <c r="F173" s="59"/>
      <c r="G173" s="59"/>
    </row>
    <row r="176" spans="2:7" ht="24" customHeight="1" x14ac:dyDescent="0.45">
      <c r="B176" s="57" t="s">
        <v>391</v>
      </c>
      <c r="C176" s="53"/>
      <c r="D176" s="53"/>
      <c r="E176" s="53"/>
      <c r="F176" s="53"/>
      <c r="G176" s="53"/>
    </row>
    <row r="177" spans="2:7" ht="18" customHeight="1" x14ac:dyDescent="0.35">
      <c r="B177" s="55" t="s">
        <v>392</v>
      </c>
      <c r="C177" s="56"/>
      <c r="D177" s="56"/>
      <c r="E177" s="56"/>
      <c r="F177" s="56"/>
      <c r="G177" s="56"/>
    </row>
    <row r="178" spans="2:7" ht="18" customHeight="1" x14ac:dyDescent="0.35">
      <c r="B178" s="56"/>
      <c r="C178" s="56"/>
      <c r="D178" s="56"/>
      <c r="E178" s="56"/>
      <c r="F178" s="56"/>
      <c r="G178" s="56"/>
    </row>
    <row r="179" spans="2:7" ht="20" customHeight="1" x14ac:dyDescent="0.45">
      <c r="B179" s="19" t="s">
        <v>393</v>
      </c>
    </row>
    <row r="180" spans="2:7" ht="25" customHeight="1" x14ac:dyDescent="0.35">
      <c r="B180" s="2" t="s">
        <v>394</v>
      </c>
      <c r="C180" s="2" t="s">
        <v>139</v>
      </c>
      <c r="D180" s="2" t="s">
        <v>395</v>
      </c>
      <c r="E180" s="2" t="s">
        <v>396</v>
      </c>
      <c r="F180" s="2" t="s">
        <v>141</v>
      </c>
    </row>
    <row r="181" spans="2:7" ht="20" customHeight="1" x14ac:dyDescent="0.35">
      <c r="B181" s="24">
        <v>1</v>
      </c>
      <c r="C181" s="22" t="s">
        <v>243</v>
      </c>
      <c r="D181" s="42">
        <v>15</v>
      </c>
      <c r="E181" s="38">
        <f t="shared" ref="E181:E186" si="3">D181/60</f>
        <v>0.25</v>
      </c>
      <c r="F181" s="25" t="s">
        <v>397</v>
      </c>
    </row>
    <row r="182" spans="2:7" ht="20" customHeight="1" x14ac:dyDescent="0.35">
      <c r="B182" s="24">
        <v>2</v>
      </c>
      <c r="C182" s="22" t="s">
        <v>248</v>
      </c>
      <c r="D182" s="42">
        <v>20</v>
      </c>
      <c r="E182" s="38">
        <f t="shared" si="3"/>
        <v>0.33333333333333331</v>
      </c>
      <c r="F182" s="25" t="s">
        <v>398</v>
      </c>
    </row>
    <row r="183" spans="2:7" ht="20" customHeight="1" x14ac:dyDescent="0.35">
      <c r="B183" s="24">
        <v>3</v>
      </c>
      <c r="C183" s="22" t="s">
        <v>357</v>
      </c>
      <c r="D183" s="42">
        <v>10</v>
      </c>
      <c r="E183" s="38">
        <f t="shared" si="3"/>
        <v>0.16666666666666666</v>
      </c>
      <c r="F183" s="25" t="s">
        <v>399</v>
      </c>
    </row>
    <row r="184" spans="2:7" ht="20" customHeight="1" x14ac:dyDescent="0.35">
      <c r="B184" s="24">
        <v>4</v>
      </c>
      <c r="C184" s="22" t="s">
        <v>359</v>
      </c>
      <c r="D184" s="42">
        <v>28</v>
      </c>
      <c r="E184" s="38">
        <f t="shared" si="3"/>
        <v>0.46666666666666667</v>
      </c>
      <c r="F184" s="25" t="s">
        <v>400</v>
      </c>
    </row>
    <row r="185" spans="2:7" ht="20" customHeight="1" x14ac:dyDescent="0.35">
      <c r="B185" s="24">
        <v>5</v>
      </c>
      <c r="C185" s="22" t="s">
        <v>361</v>
      </c>
      <c r="D185" s="42">
        <v>22</v>
      </c>
      <c r="E185" s="38">
        <f t="shared" si="3"/>
        <v>0.36666666666666664</v>
      </c>
      <c r="F185" s="25" t="s">
        <v>401</v>
      </c>
    </row>
    <row r="186" spans="2:7" ht="20" customHeight="1" x14ac:dyDescent="0.35">
      <c r="B186" s="24">
        <v>6</v>
      </c>
      <c r="C186" s="22" t="s">
        <v>363</v>
      </c>
      <c r="D186" s="42">
        <v>30</v>
      </c>
      <c r="E186" s="38">
        <f t="shared" si="3"/>
        <v>0.5</v>
      </c>
      <c r="F186" s="25" t="s">
        <v>402</v>
      </c>
    </row>
    <row r="187" spans="2:7" ht="22" customHeight="1" x14ac:dyDescent="0.35">
      <c r="B187" s="61" t="s">
        <v>403</v>
      </c>
      <c r="C187" s="62"/>
      <c r="D187" s="43">
        <f>SUM(D181:D186)</f>
        <v>125</v>
      </c>
      <c r="E187" s="44">
        <f>SUM(E181:E186)</f>
        <v>2.083333333333333</v>
      </c>
      <c r="F187" s="35" t="s">
        <v>404</v>
      </c>
    </row>
    <row r="189" spans="2:7" ht="20" customHeight="1" x14ac:dyDescent="0.45">
      <c r="B189" s="19" t="s">
        <v>405</v>
      </c>
    </row>
    <row r="190" spans="2:7" ht="24" customHeight="1" x14ac:dyDescent="0.35">
      <c r="B190" s="27" t="s">
        <v>162</v>
      </c>
      <c r="C190" s="27" t="s">
        <v>139</v>
      </c>
      <c r="D190" s="27" t="s">
        <v>163</v>
      </c>
      <c r="E190" s="27" t="s">
        <v>164</v>
      </c>
      <c r="F190" s="27" t="s">
        <v>9</v>
      </c>
      <c r="G190" s="27" t="s">
        <v>165</v>
      </c>
    </row>
    <row r="191" spans="2:7" ht="22" customHeight="1" x14ac:dyDescent="0.35">
      <c r="B191" s="21" t="s">
        <v>406</v>
      </c>
      <c r="C191" s="22" t="s">
        <v>143</v>
      </c>
      <c r="D191" s="28">
        <f>COUNT(D181:D186)</f>
        <v>6</v>
      </c>
      <c r="E191" s="29">
        <f>COUNT(D181:D186)</f>
        <v>6</v>
      </c>
      <c r="F191" s="24" t="s">
        <v>407</v>
      </c>
      <c r="G191" s="25" t="s">
        <v>408</v>
      </c>
    </row>
    <row r="192" spans="2:7" ht="22" customHeight="1" x14ac:dyDescent="0.35">
      <c r="B192" s="21" t="s">
        <v>409</v>
      </c>
      <c r="C192" s="22" t="s">
        <v>410</v>
      </c>
      <c r="D192" s="28" t="s">
        <v>411</v>
      </c>
      <c r="E192" s="18">
        <f>AVERAGE(D181:D186)</f>
        <v>20.833333333333332</v>
      </c>
      <c r="F192" s="24" t="s">
        <v>85</v>
      </c>
      <c r="G192" s="25" t="s">
        <v>412</v>
      </c>
    </row>
    <row r="193" spans="2:7" ht="22" customHeight="1" x14ac:dyDescent="0.35">
      <c r="B193" s="21" t="s">
        <v>413</v>
      </c>
      <c r="C193" s="22" t="s">
        <v>414</v>
      </c>
      <c r="D193" s="28" t="s">
        <v>415</v>
      </c>
      <c r="E193" s="16">
        <f>AVERAGE(E181:E186)</f>
        <v>0.34722222222222215</v>
      </c>
      <c r="F193" s="24" t="s">
        <v>77</v>
      </c>
      <c r="G193" s="25" t="s">
        <v>416</v>
      </c>
    </row>
    <row r="194" spans="2:7" ht="24" customHeight="1" x14ac:dyDescent="0.35">
      <c r="B194" s="58" t="s">
        <v>417</v>
      </c>
      <c r="C194" s="59"/>
      <c r="D194" s="59"/>
      <c r="E194" s="59"/>
      <c r="F194" s="59"/>
      <c r="G194" s="59"/>
    </row>
    <row r="197" spans="2:7" ht="24" customHeight="1" x14ac:dyDescent="0.35">
      <c r="B197" s="60" t="s">
        <v>418</v>
      </c>
      <c r="C197" s="53"/>
      <c r="D197" s="53"/>
      <c r="E197" s="53"/>
      <c r="F197" s="53"/>
      <c r="G197" s="53"/>
    </row>
    <row r="198" spans="2:7" ht="18" customHeight="1" x14ac:dyDescent="0.35">
      <c r="B198" s="55" t="s">
        <v>419</v>
      </c>
      <c r="C198" s="56"/>
      <c r="D198" s="56"/>
      <c r="E198" s="56"/>
      <c r="F198" s="56"/>
      <c r="G198" s="56"/>
    </row>
    <row r="199" spans="2:7" ht="18" customHeight="1" x14ac:dyDescent="0.35">
      <c r="B199" s="56"/>
      <c r="C199" s="56"/>
      <c r="D199" s="56"/>
      <c r="E199" s="56"/>
      <c r="F199" s="56"/>
      <c r="G199" s="56"/>
    </row>
    <row r="200" spans="2:7" ht="20" customHeight="1" x14ac:dyDescent="0.45">
      <c r="B200" s="19" t="s">
        <v>137</v>
      </c>
    </row>
    <row r="201" spans="2:7" ht="22" customHeight="1" x14ac:dyDescent="0.35">
      <c r="B201" s="20" t="s">
        <v>138</v>
      </c>
      <c r="C201" s="20" t="s">
        <v>139</v>
      </c>
      <c r="D201" s="20" t="s">
        <v>140</v>
      </c>
      <c r="E201" s="20" t="s">
        <v>9</v>
      </c>
      <c r="F201" s="20" t="s">
        <v>141</v>
      </c>
    </row>
    <row r="202" spans="2:7" ht="20" customHeight="1" x14ac:dyDescent="0.35">
      <c r="B202" s="21" t="s">
        <v>240</v>
      </c>
      <c r="C202" s="22" t="s">
        <v>143</v>
      </c>
      <c r="D202" s="23">
        <v>1000</v>
      </c>
      <c r="E202" s="24" t="s">
        <v>144</v>
      </c>
      <c r="F202" s="25" t="s">
        <v>420</v>
      </c>
    </row>
    <row r="203" spans="2:7" ht="20" customHeight="1" x14ac:dyDescent="0.35">
      <c r="B203" s="21" t="s">
        <v>242</v>
      </c>
      <c r="C203" s="22" t="s">
        <v>243</v>
      </c>
      <c r="D203" s="23">
        <v>11000</v>
      </c>
      <c r="E203" s="24" t="s">
        <v>77</v>
      </c>
      <c r="F203" s="25" t="s">
        <v>421</v>
      </c>
    </row>
    <row r="204" spans="2:7" ht="20" customHeight="1" x14ac:dyDescent="0.35">
      <c r="B204" s="21" t="s">
        <v>245</v>
      </c>
      <c r="C204" s="22" t="s">
        <v>220</v>
      </c>
      <c r="D204" s="23">
        <v>410</v>
      </c>
      <c r="E204" s="24" t="s">
        <v>144</v>
      </c>
      <c r="F204" s="25" t="s">
        <v>422</v>
      </c>
    </row>
    <row r="205" spans="2:7" ht="20" customHeight="1" x14ac:dyDescent="0.35">
      <c r="B205" s="21" t="s">
        <v>247</v>
      </c>
      <c r="C205" s="22" t="s">
        <v>248</v>
      </c>
      <c r="D205" s="23">
        <v>12000</v>
      </c>
      <c r="E205" s="24" t="s">
        <v>77</v>
      </c>
      <c r="F205" s="25" t="s">
        <v>423</v>
      </c>
    </row>
    <row r="206" spans="2:7" ht="20" customHeight="1" x14ac:dyDescent="0.35">
      <c r="B206" s="21" t="s">
        <v>202</v>
      </c>
      <c r="C206" s="22" t="s">
        <v>156</v>
      </c>
      <c r="D206" s="26">
        <f>D205-D203</f>
        <v>1000</v>
      </c>
      <c r="E206" s="24" t="s">
        <v>77</v>
      </c>
      <c r="F206" s="25" t="s">
        <v>424</v>
      </c>
    </row>
    <row r="207" spans="2:7" ht="20" customHeight="1" x14ac:dyDescent="0.35">
      <c r="B207" s="21" t="s">
        <v>251</v>
      </c>
      <c r="C207" s="22" t="s">
        <v>159</v>
      </c>
      <c r="D207" s="23">
        <v>40</v>
      </c>
      <c r="E207" s="24" t="s">
        <v>144</v>
      </c>
      <c r="F207" s="25" t="s">
        <v>425</v>
      </c>
    </row>
    <row r="209" spans="2:7" ht="20" customHeight="1" x14ac:dyDescent="0.45">
      <c r="B209" s="19" t="s">
        <v>161</v>
      </c>
    </row>
    <row r="210" spans="2:7" ht="24" customHeight="1" x14ac:dyDescent="0.35">
      <c r="B210" s="27" t="s">
        <v>162</v>
      </c>
      <c r="C210" s="27" t="s">
        <v>139</v>
      </c>
      <c r="D210" s="27" t="s">
        <v>163</v>
      </c>
      <c r="E210" s="27" t="s">
        <v>164</v>
      </c>
      <c r="F210" s="27" t="s">
        <v>9</v>
      </c>
      <c r="G210" s="27" t="s">
        <v>165</v>
      </c>
    </row>
    <row r="211" spans="2:7" ht="22" customHeight="1" x14ac:dyDescent="0.35">
      <c r="B211" s="21" t="s">
        <v>426</v>
      </c>
      <c r="C211" s="22" t="s">
        <v>254</v>
      </c>
      <c r="D211" s="28" t="s">
        <v>427</v>
      </c>
      <c r="E211" s="29">
        <f>D202-D204</f>
        <v>590</v>
      </c>
      <c r="F211" s="24" t="s">
        <v>144</v>
      </c>
      <c r="G211" s="25" t="s">
        <v>428</v>
      </c>
    </row>
    <row r="212" spans="2:7" ht="22" customHeight="1" x14ac:dyDescent="0.35">
      <c r="B212" s="21" t="s">
        <v>429</v>
      </c>
      <c r="C212" s="22" t="s">
        <v>258</v>
      </c>
      <c r="D212" s="28" t="s">
        <v>430</v>
      </c>
      <c r="E212" s="29">
        <f>E211-D207</f>
        <v>550</v>
      </c>
      <c r="F212" s="24" t="s">
        <v>144</v>
      </c>
      <c r="G212" s="25" t="s">
        <v>431</v>
      </c>
    </row>
    <row r="213" spans="2:7" ht="22" customHeight="1" x14ac:dyDescent="0.35">
      <c r="B213" s="21" t="s">
        <v>432</v>
      </c>
      <c r="C213" s="22" t="s">
        <v>433</v>
      </c>
      <c r="D213" s="28" t="s">
        <v>434</v>
      </c>
      <c r="E213" s="16">
        <f>E211/D202</f>
        <v>0.59</v>
      </c>
      <c r="F213" s="24" t="s">
        <v>27</v>
      </c>
      <c r="G213" s="25" t="s">
        <v>435</v>
      </c>
    </row>
    <row r="214" spans="2:7" ht="22" customHeight="1" x14ac:dyDescent="0.35">
      <c r="B214" s="21" t="s">
        <v>436</v>
      </c>
      <c r="C214" s="22" t="s">
        <v>437</v>
      </c>
      <c r="D214" s="28" t="s">
        <v>438</v>
      </c>
      <c r="E214" s="16">
        <f>E212/D202</f>
        <v>0.55000000000000004</v>
      </c>
      <c r="F214" s="24" t="s">
        <v>27</v>
      </c>
      <c r="G214" s="25" t="s">
        <v>439</v>
      </c>
    </row>
    <row r="215" spans="2:7" ht="22" customHeight="1" x14ac:dyDescent="0.35">
      <c r="B215" s="21" t="s">
        <v>440</v>
      </c>
      <c r="C215" s="22" t="s">
        <v>441</v>
      </c>
      <c r="D215" s="28" t="s">
        <v>271</v>
      </c>
      <c r="E215" s="17">
        <f>D207/(D202*D206)</f>
        <v>4.0000000000000003E-5</v>
      </c>
      <c r="F215" s="24" t="s">
        <v>16</v>
      </c>
      <c r="G215" s="25" t="s">
        <v>442</v>
      </c>
    </row>
    <row r="216" spans="2:7" ht="22" customHeight="1" x14ac:dyDescent="0.35">
      <c r="B216" s="21" t="s">
        <v>443</v>
      </c>
      <c r="C216" s="22" t="s">
        <v>444</v>
      </c>
      <c r="D216" s="28" t="s">
        <v>445</v>
      </c>
      <c r="E216" s="17">
        <f>D207/(E211*D206)</f>
        <v>6.7796610169491525E-5</v>
      </c>
      <c r="F216" s="24" t="s">
        <v>16</v>
      </c>
      <c r="G216" s="25" t="s">
        <v>446</v>
      </c>
    </row>
    <row r="217" spans="2:7" ht="24" customHeight="1" x14ac:dyDescent="0.35">
      <c r="B217" s="58" t="s">
        <v>447</v>
      </c>
      <c r="C217" s="59"/>
      <c r="D217" s="59"/>
      <c r="E217" s="59"/>
      <c r="F217" s="59"/>
      <c r="G217" s="59"/>
    </row>
  </sheetData>
  <mergeCells count="36">
    <mergeCell ref="B2:G2"/>
    <mergeCell ref="B151:G151"/>
    <mergeCell ref="B129:G130"/>
    <mergeCell ref="B60:G60"/>
    <mergeCell ref="B23:G23"/>
    <mergeCell ref="B148:G148"/>
    <mergeCell ref="B82:G82"/>
    <mergeCell ref="B7:G8"/>
    <mergeCell ref="B128:G128"/>
    <mergeCell ref="B6:G6"/>
    <mergeCell ref="B4:G4"/>
    <mergeCell ref="B26:G26"/>
    <mergeCell ref="B3:G3"/>
    <mergeCell ref="B102:G102"/>
    <mergeCell ref="B105:G105"/>
    <mergeCell ref="B43:G43"/>
    <mergeCell ref="B27:G28"/>
    <mergeCell ref="B40:G40"/>
    <mergeCell ref="B152:G153"/>
    <mergeCell ref="B63:G63"/>
    <mergeCell ref="B197:G197"/>
    <mergeCell ref="B79:G79"/>
    <mergeCell ref="B173:G173"/>
    <mergeCell ref="B187:C187"/>
    <mergeCell ref="B194:G194"/>
    <mergeCell ref="B125:G125"/>
    <mergeCell ref="B140:D140"/>
    <mergeCell ref="B164:C164"/>
    <mergeCell ref="B177:G178"/>
    <mergeCell ref="B44:G45"/>
    <mergeCell ref="B83:G84"/>
    <mergeCell ref="B198:G199"/>
    <mergeCell ref="B176:G176"/>
    <mergeCell ref="B64:G65"/>
    <mergeCell ref="B217:G217"/>
    <mergeCell ref="B106:G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13"/>
  <sheetViews>
    <sheetView workbookViewId="0"/>
  </sheetViews>
  <sheetFormatPr defaultRowHeight="14.5" x14ac:dyDescent="0.35"/>
  <cols>
    <col min="1" max="1" width="4" customWidth="1"/>
    <col min="2" max="2" width="40" customWidth="1"/>
    <col min="3" max="3" width="18" customWidth="1"/>
    <col min="4" max="4" width="34" customWidth="1"/>
    <col min="5" max="5" width="24" customWidth="1"/>
    <col min="6" max="6" width="12" customWidth="1"/>
    <col min="7" max="7" width="46" customWidth="1"/>
  </cols>
  <sheetData>
    <row r="2" spans="2:7" ht="30" customHeight="1" x14ac:dyDescent="0.35">
      <c r="B2" s="52" t="s">
        <v>448</v>
      </c>
      <c r="C2" s="53"/>
      <c r="D2" s="53"/>
      <c r="E2" s="53"/>
      <c r="F2" s="53"/>
      <c r="G2" s="53"/>
    </row>
    <row r="3" spans="2:7" ht="24" customHeight="1" x14ac:dyDescent="0.35">
      <c r="B3" s="50" t="s">
        <v>449</v>
      </c>
      <c r="C3" s="51"/>
      <c r="D3" s="51"/>
      <c r="E3" s="51"/>
      <c r="F3" s="51"/>
      <c r="G3" s="51"/>
    </row>
    <row r="4" spans="2:7" ht="20" customHeight="1" x14ac:dyDescent="0.35">
      <c r="B4" s="54" t="s">
        <v>450</v>
      </c>
      <c r="C4" s="51"/>
      <c r="D4" s="51"/>
      <c r="E4" s="51"/>
      <c r="F4" s="51"/>
      <c r="G4" s="51"/>
    </row>
    <row r="6" spans="2:7" ht="24" customHeight="1" x14ac:dyDescent="0.35">
      <c r="B6" s="60" t="s">
        <v>451</v>
      </c>
      <c r="C6" s="53"/>
      <c r="D6" s="53"/>
      <c r="E6" s="53"/>
      <c r="F6" s="53"/>
      <c r="G6" s="53"/>
    </row>
    <row r="7" spans="2:7" ht="18" customHeight="1" x14ac:dyDescent="0.35">
      <c r="B7" s="55" t="s">
        <v>452</v>
      </c>
      <c r="C7" s="56"/>
      <c r="D7" s="56"/>
      <c r="E7" s="56"/>
      <c r="F7" s="56"/>
      <c r="G7" s="56"/>
    </row>
    <row r="8" spans="2:7" ht="18" customHeight="1" x14ac:dyDescent="0.35">
      <c r="B8" s="56"/>
      <c r="C8" s="56"/>
      <c r="D8" s="56"/>
      <c r="E8" s="56"/>
      <c r="F8" s="56"/>
      <c r="G8" s="56"/>
    </row>
    <row r="9" spans="2:7" ht="20" customHeight="1" x14ac:dyDescent="0.45">
      <c r="B9" s="19" t="s">
        <v>137</v>
      </c>
    </row>
    <row r="10" spans="2:7" ht="22" customHeight="1" x14ac:dyDescent="0.35">
      <c r="B10" s="20" t="s">
        <v>138</v>
      </c>
      <c r="C10" s="20" t="s">
        <v>139</v>
      </c>
      <c r="D10" s="20" t="s">
        <v>140</v>
      </c>
      <c r="E10" s="20" t="s">
        <v>9</v>
      </c>
      <c r="F10" s="20" t="s">
        <v>141</v>
      </c>
    </row>
    <row r="11" spans="2:7" ht="20" customHeight="1" x14ac:dyDescent="0.35">
      <c r="B11" s="21" t="s">
        <v>453</v>
      </c>
      <c r="C11" s="22" t="s">
        <v>454</v>
      </c>
      <c r="D11" s="23">
        <v>160</v>
      </c>
      <c r="E11" s="24" t="s">
        <v>77</v>
      </c>
      <c r="F11" s="25" t="s">
        <v>455</v>
      </c>
    </row>
    <row r="12" spans="2:7" ht="20" customHeight="1" x14ac:dyDescent="0.35">
      <c r="B12" s="21" t="s">
        <v>456</v>
      </c>
      <c r="C12" s="22" t="s">
        <v>457</v>
      </c>
      <c r="D12" s="23">
        <v>320</v>
      </c>
      <c r="E12" s="24" t="s">
        <v>77</v>
      </c>
      <c r="F12" s="25" t="s">
        <v>458</v>
      </c>
    </row>
    <row r="13" spans="2:7" ht="20" customHeight="1" x14ac:dyDescent="0.35">
      <c r="B13" s="21" t="s">
        <v>459</v>
      </c>
      <c r="C13" s="22" t="s">
        <v>460</v>
      </c>
      <c r="D13" s="23">
        <v>600</v>
      </c>
      <c r="E13" s="24" t="s">
        <v>77</v>
      </c>
      <c r="F13" s="25" t="s">
        <v>461</v>
      </c>
    </row>
    <row r="15" spans="2:7" ht="20" customHeight="1" x14ac:dyDescent="0.45">
      <c r="B15" s="19" t="s">
        <v>161</v>
      </c>
    </row>
    <row r="16" spans="2:7" ht="24" customHeight="1" x14ac:dyDescent="0.35">
      <c r="B16" s="27" t="s">
        <v>162</v>
      </c>
      <c r="C16" s="27" t="s">
        <v>139</v>
      </c>
      <c r="D16" s="27" t="s">
        <v>163</v>
      </c>
      <c r="E16" s="27" t="s">
        <v>164</v>
      </c>
      <c r="F16" s="27" t="s">
        <v>9</v>
      </c>
      <c r="G16" s="27" t="s">
        <v>165</v>
      </c>
    </row>
    <row r="17" spans="2:7" ht="22" customHeight="1" x14ac:dyDescent="0.35">
      <c r="B17" s="21" t="s">
        <v>462</v>
      </c>
      <c r="C17" s="22" t="s">
        <v>463</v>
      </c>
      <c r="D17" s="28" t="s">
        <v>464</v>
      </c>
      <c r="E17" s="17">
        <f>1/D11</f>
        <v>6.2500000000000003E-3</v>
      </c>
      <c r="F17" s="24" t="s">
        <v>16</v>
      </c>
      <c r="G17" s="25" t="s">
        <v>465</v>
      </c>
    </row>
    <row r="18" spans="2:7" ht="22" customHeight="1" x14ac:dyDescent="0.35">
      <c r="B18" s="21" t="s">
        <v>466</v>
      </c>
      <c r="C18" s="22" t="s">
        <v>467</v>
      </c>
      <c r="D18" s="28" t="s">
        <v>468</v>
      </c>
      <c r="E18" s="17">
        <f>1/D12</f>
        <v>3.1250000000000002E-3</v>
      </c>
      <c r="F18" s="24" t="s">
        <v>16</v>
      </c>
      <c r="G18" s="25" t="s">
        <v>469</v>
      </c>
    </row>
    <row r="19" spans="2:7" ht="22" customHeight="1" x14ac:dyDescent="0.35">
      <c r="B19" s="21" t="s">
        <v>470</v>
      </c>
      <c r="C19" s="22" t="s">
        <v>471</v>
      </c>
      <c r="D19" s="28" t="s">
        <v>472</v>
      </c>
      <c r="E19" s="17">
        <f>1/D13</f>
        <v>1.6666666666666668E-3</v>
      </c>
      <c r="F19" s="24" t="s">
        <v>16</v>
      </c>
      <c r="G19" s="25" t="s">
        <v>473</v>
      </c>
    </row>
    <row r="20" spans="2:7" ht="22" customHeight="1" x14ac:dyDescent="0.35">
      <c r="B20" s="21" t="s">
        <v>474</v>
      </c>
      <c r="C20" s="22" t="s">
        <v>475</v>
      </c>
      <c r="D20" s="28" t="s">
        <v>476</v>
      </c>
      <c r="E20" s="17">
        <f>E17+E18+E19</f>
        <v>1.1041666666666668E-2</v>
      </c>
      <c r="F20" s="24" t="s">
        <v>16</v>
      </c>
      <c r="G20" s="25" t="s">
        <v>477</v>
      </c>
    </row>
    <row r="21" spans="2:7" ht="22" customHeight="1" x14ac:dyDescent="0.35">
      <c r="B21" s="21" t="s">
        <v>478</v>
      </c>
      <c r="C21" s="22" t="s">
        <v>479</v>
      </c>
      <c r="D21" s="28" t="s">
        <v>480</v>
      </c>
      <c r="E21" s="18">
        <f>1/E20</f>
        <v>90.566037735849036</v>
      </c>
      <c r="F21" s="24" t="s">
        <v>77</v>
      </c>
      <c r="G21" s="25" t="s">
        <v>481</v>
      </c>
    </row>
    <row r="22" spans="2:7" ht="24" customHeight="1" x14ac:dyDescent="0.35">
      <c r="B22" s="58" t="s">
        <v>482</v>
      </c>
      <c r="C22" s="59"/>
      <c r="D22" s="59"/>
      <c r="E22" s="59"/>
      <c r="F22" s="59"/>
      <c r="G22" s="59"/>
    </row>
    <row r="25" spans="2:7" ht="24" customHeight="1" x14ac:dyDescent="0.35">
      <c r="B25" s="60" t="s">
        <v>483</v>
      </c>
      <c r="C25" s="53"/>
      <c r="D25" s="53"/>
      <c r="E25" s="53"/>
      <c r="F25" s="53"/>
      <c r="G25" s="53"/>
    </row>
    <row r="26" spans="2:7" ht="18" customHeight="1" x14ac:dyDescent="0.35">
      <c r="B26" s="55" t="s">
        <v>484</v>
      </c>
      <c r="C26" s="56"/>
      <c r="D26" s="56"/>
      <c r="E26" s="56"/>
      <c r="F26" s="56"/>
      <c r="G26" s="56"/>
    </row>
    <row r="27" spans="2:7" ht="18" customHeight="1" x14ac:dyDescent="0.35">
      <c r="B27" s="56"/>
      <c r="C27" s="56"/>
      <c r="D27" s="56"/>
      <c r="E27" s="56"/>
      <c r="F27" s="56"/>
      <c r="G27" s="56"/>
    </row>
    <row r="28" spans="2:7" ht="20" customHeight="1" x14ac:dyDescent="0.45">
      <c r="B28" s="19" t="s">
        <v>137</v>
      </c>
    </row>
    <row r="29" spans="2:7" ht="22" customHeight="1" x14ac:dyDescent="0.35">
      <c r="B29" s="20" t="s">
        <v>138</v>
      </c>
      <c r="C29" s="20" t="s">
        <v>139</v>
      </c>
      <c r="D29" s="20" t="s">
        <v>140</v>
      </c>
      <c r="E29" s="20" t="s">
        <v>9</v>
      </c>
      <c r="F29" s="20" t="s">
        <v>141</v>
      </c>
    </row>
    <row r="30" spans="2:7" ht="20" customHeight="1" x14ac:dyDescent="0.35">
      <c r="B30" s="21" t="s">
        <v>485</v>
      </c>
      <c r="C30" s="22" t="s">
        <v>143</v>
      </c>
      <c r="D30" s="23">
        <v>1000</v>
      </c>
      <c r="E30" s="24" t="s">
        <v>144</v>
      </c>
      <c r="F30" s="25" t="s">
        <v>486</v>
      </c>
    </row>
    <row r="31" spans="2:7" ht="20" customHeight="1" x14ac:dyDescent="0.35">
      <c r="B31" s="21" t="s">
        <v>487</v>
      </c>
      <c r="C31" s="22" t="s">
        <v>147</v>
      </c>
      <c r="D31" s="23">
        <v>3000</v>
      </c>
      <c r="E31" s="24" t="s">
        <v>77</v>
      </c>
      <c r="F31" s="25" t="s">
        <v>488</v>
      </c>
    </row>
    <row r="32" spans="2:7" ht="20" customHeight="1" x14ac:dyDescent="0.35">
      <c r="B32" s="21" t="s">
        <v>489</v>
      </c>
      <c r="C32" s="22" t="s">
        <v>150</v>
      </c>
      <c r="D32" s="23">
        <v>80</v>
      </c>
      <c r="E32" s="24" t="s">
        <v>144</v>
      </c>
      <c r="F32" s="25" t="s">
        <v>490</v>
      </c>
    </row>
    <row r="34" spans="2:7" ht="20" customHeight="1" x14ac:dyDescent="0.45">
      <c r="B34" s="19" t="s">
        <v>161</v>
      </c>
    </row>
    <row r="35" spans="2:7" ht="24" customHeight="1" x14ac:dyDescent="0.35">
      <c r="B35" s="27" t="s">
        <v>162</v>
      </c>
      <c r="C35" s="27" t="s">
        <v>139</v>
      </c>
      <c r="D35" s="27" t="s">
        <v>163</v>
      </c>
      <c r="E35" s="27" t="s">
        <v>164</v>
      </c>
      <c r="F35" s="27" t="s">
        <v>9</v>
      </c>
      <c r="G35" s="27" t="s">
        <v>165</v>
      </c>
    </row>
    <row r="36" spans="2:7" ht="22" customHeight="1" x14ac:dyDescent="0.35">
      <c r="B36" s="21" t="s">
        <v>491</v>
      </c>
      <c r="C36" s="22" t="s">
        <v>167</v>
      </c>
      <c r="D36" s="28" t="s">
        <v>168</v>
      </c>
      <c r="E36" s="29">
        <f>D30-D32</f>
        <v>920</v>
      </c>
      <c r="F36" s="24" t="s">
        <v>144</v>
      </c>
      <c r="G36" s="25" t="s">
        <v>492</v>
      </c>
    </row>
    <row r="37" spans="2:7" ht="22" customHeight="1" x14ac:dyDescent="0.35">
      <c r="B37" s="21" t="s">
        <v>185</v>
      </c>
      <c r="C37" s="22" t="s">
        <v>493</v>
      </c>
      <c r="D37" s="28" t="s">
        <v>187</v>
      </c>
      <c r="E37" s="16">
        <f>E36/D30</f>
        <v>0.92</v>
      </c>
      <c r="F37" s="24" t="s">
        <v>27</v>
      </c>
      <c r="G37" s="25" t="s">
        <v>494</v>
      </c>
    </row>
    <row r="38" spans="2:7" ht="22" customHeight="1" x14ac:dyDescent="0.35">
      <c r="B38" s="21" t="s">
        <v>495</v>
      </c>
      <c r="C38" s="22" t="s">
        <v>496</v>
      </c>
      <c r="D38" s="28" t="s">
        <v>497</v>
      </c>
      <c r="E38" s="16">
        <f>1-E37</f>
        <v>7.999999999999996E-2</v>
      </c>
      <c r="F38" s="24" t="s">
        <v>27</v>
      </c>
      <c r="G38" s="25" t="s">
        <v>498</v>
      </c>
    </row>
    <row r="39" spans="2:7" ht="24" customHeight="1" x14ac:dyDescent="0.35">
      <c r="B39" s="58" t="s">
        <v>499</v>
      </c>
      <c r="C39" s="59"/>
      <c r="D39" s="59"/>
      <c r="E39" s="59"/>
      <c r="F39" s="59"/>
      <c r="G39" s="59"/>
    </row>
    <row r="42" spans="2:7" ht="24" customHeight="1" x14ac:dyDescent="0.35">
      <c r="B42" s="60" t="s">
        <v>500</v>
      </c>
      <c r="C42" s="53"/>
      <c r="D42" s="53"/>
      <c r="E42" s="53"/>
      <c r="F42" s="53"/>
      <c r="G42" s="53"/>
    </row>
    <row r="43" spans="2:7" ht="18" customHeight="1" x14ac:dyDescent="0.35">
      <c r="B43" s="55" t="s">
        <v>501</v>
      </c>
      <c r="C43" s="56"/>
      <c r="D43" s="56"/>
      <c r="E43" s="56"/>
      <c r="F43" s="56"/>
      <c r="G43" s="56"/>
    </row>
    <row r="44" spans="2:7" ht="18" customHeight="1" x14ac:dyDescent="0.35">
      <c r="B44" s="56"/>
      <c r="C44" s="56"/>
      <c r="D44" s="56"/>
      <c r="E44" s="56"/>
      <c r="F44" s="56"/>
      <c r="G44" s="56"/>
    </row>
    <row r="45" spans="2:7" ht="20" customHeight="1" x14ac:dyDescent="0.45">
      <c r="B45" s="19" t="s">
        <v>137</v>
      </c>
    </row>
    <row r="46" spans="2:7" ht="22" customHeight="1" x14ac:dyDescent="0.35">
      <c r="B46" s="20" t="s">
        <v>138</v>
      </c>
      <c r="C46" s="20" t="s">
        <v>139</v>
      </c>
      <c r="D46" s="20" t="s">
        <v>140</v>
      </c>
      <c r="E46" s="20" t="s">
        <v>9</v>
      </c>
      <c r="F46" s="20" t="s">
        <v>141</v>
      </c>
    </row>
    <row r="47" spans="2:7" ht="20" customHeight="1" x14ac:dyDescent="0.35">
      <c r="B47" s="21" t="s">
        <v>241</v>
      </c>
      <c r="C47" s="22" t="s">
        <v>143</v>
      </c>
      <c r="D47" s="23">
        <v>500</v>
      </c>
      <c r="E47" s="24" t="s">
        <v>144</v>
      </c>
      <c r="F47" s="25" t="s">
        <v>502</v>
      </c>
    </row>
    <row r="48" spans="2:7" ht="20" customHeight="1" x14ac:dyDescent="0.35">
      <c r="B48" s="21" t="s">
        <v>503</v>
      </c>
      <c r="C48" s="22" t="s">
        <v>147</v>
      </c>
      <c r="D48" s="23">
        <v>3000</v>
      </c>
      <c r="E48" s="24" t="s">
        <v>77</v>
      </c>
      <c r="F48" s="25" t="s">
        <v>504</v>
      </c>
    </row>
    <row r="49" spans="2:7" ht="20" customHeight="1" x14ac:dyDescent="0.35">
      <c r="B49" s="21" t="s">
        <v>199</v>
      </c>
      <c r="C49" s="22" t="s">
        <v>220</v>
      </c>
      <c r="D49" s="23">
        <v>300</v>
      </c>
      <c r="E49" s="24" t="s">
        <v>144</v>
      </c>
      <c r="F49" s="25" t="s">
        <v>505</v>
      </c>
    </row>
    <row r="50" spans="2:7" ht="20" customHeight="1" x14ac:dyDescent="0.35">
      <c r="B50" s="21" t="s">
        <v>202</v>
      </c>
      <c r="C50" s="22" t="s">
        <v>156</v>
      </c>
      <c r="D50" s="23">
        <v>100</v>
      </c>
      <c r="E50" s="24" t="s">
        <v>77</v>
      </c>
      <c r="F50" s="25" t="s">
        <v>506</v>
      </c>
    </row>
    <row r="51" spans="2:7" ht="20" customHeight="1" x14ac:dyDescent="0.35">
      <c r="B51" s="21" t="s">
        <v>507</v>
      </c>
      <c r="C51" s="22" t="s">
        <v>159</v>
      </c>
      <c r="D51" s="23">
        <v>100</v>
      </c>
      <c r="E51" s="24" t="s">
        <v>144</v>
      </c>
      <c r="F51" s="25" t="s">
        <v>508</v>
      </c>
    </row>
    <row r="53" spans="2:7" ht="20" customHeight="1" x14ac:dyDescent="0.45">
      <c r="B53" s="19" t="s">
        <v>161</v>
      </c>
    </row>
    <row r="54" spans="2:7" ht="24" customHeight="1" x14ac:dyDescent="0.35">
      <c r="B54" s="27" t="s">
        <v>162</v>
      </c>
      <c r="C54" s="27" t="s">
        <v>139</v>
      </c>
      <c r="D54" s="27" t="s">
        <v>163</v>
      </c>
      <c r="E54" s="27" t="s">
        <v>164</v>
      </c>
      <c r="F54" s="27" t="s">
        <v>9</v>
      </c>
      <c r="G54" s="27" t="s">
        <v>165</v>
      </c>
    </row>
    <row r="55" spans="2:7" ht="22" customHeight="1" x14ac:dyDescent="0.35">
      <c r="B55" s="21" t="s">
        <v>509</v>
      </c>
      <c r="C55" s="22" t="s">
        <v>254</v>
      </c>
      <c r="D55" s="28" t="s">
        <v>510</v>
      </c>
      <c r="E55" s="29">
        <f>D47-D49</f>
        <v>200</v>
      </c>
      <c r="F55" s="24" t="s">
        <v>144</v>
      </c>
      <c r="G55" s="25" t="s">
        <v>511</v>
      </c>
    </row>
    <row r="56" spans="2:7" ht="22" customHeight="1" x14ac:dyDescent="0.35">
      <c r="B56" s="21" t="s">
        <v>512</v>
      </c>
      <c r="C56" s="22" t="s">
        <v>258</v>
      </c>
      <c r="D56" s="28" t="s">
        <v>513</v>
      </c>
      <c r="E56" s="29">
        <f>E55-D51</f>
        <v>100</v>
      </c>
      <c r="F56" s="24" t="s">
        <v>144</v>
      </c>
      <c r="G56" s="25" t="s">
        <v>514</v>
      </c>
    </row>
    <row r="57" spans="2:7" ht="22" customHeight="1" x14ac:dyDescent="0.35">
      <c r="B57" s="21" t="s">
        <v>515</v>
      </c>
      <c r="C57" s="22" t="s">
        <v>493</v>
      </c>
      <c r="D57" s="28" t="s">
        <v>516</v>
      </c>
      <c r="E57" s="16">
        <f>E55/D47</f>
        <v>0.4</v>
      </c>
      <c r="F57" s="24" t="s">
        <v>27</v>
      </c>
      <c r="G57" s="25" t="s">
        <v>517</v>
      </c>
    </row>
    <row r="58" spans="2:7" ht="22" customHeight="1" x14ac:dyDescent="0.35">
      <c r="B58" s="21" t="s">
        <v>518</v>
      </c>
      <c r="C58" s="22" t="s">
        <v>519</v>
      </c>
      <c r="D58" s="28" t="s">
        <v>520</v>
      </c>
      <c r="E58" s="16">
        <f>E56/D47</f>
        <v>0.2</v>
      </c>
      <c r="F58" s="24" t="s">
        <v>27</v>
      </c>
      <c r="G58" s="25" t="s">
        <v>521</v>
      </c>
    </row>
    <row r="59" spans="2:7" ht="22" customHeight="1" x14ac:dyDescent="0.35">
      <c r="B59" s="21" t="s">
        <v>522</v>
      </c>
      <c r="C59" s="22" t="s">
        <v>523</v>
      </c>
      <c r="D59" s="28" t="s">
        <v>271</v>
      </c>
      <c r="E59" s="17">
        <f>D51/(D47*D50)</f>
        <v>2E-3</v>
      </c>
      <c r="F59" s="24" t="s">
        <v>16</v>
      </c>
      <c r="G59" s="25" t="s">
        <v>524</v>
      </c>
    </row>
    <row r="60" spans="2:7" ht="22" customHeight="1" x14ac:dyDescent="0.35">
      <c r="B60" s="21" t="s">
        <v>525</v>
      </c>
      <c r="C60" s="22" t="s">
        <v>526</v>
      </c>
      <c r="D60" s="28" t="s">
        <v>527</v>
      </c>
      <c r="E60" s="17">
        <f>D51/(E55*D50)</f>
        <v>5.0000000000000001E-3</v>
      </c>
      <c r="F60" s="24" t="s">
        <v>16</v>
      </c>
      <c r="G60" s="25" t="s">
        <v>528</v>
      </c>
    </row>
    <row r="61" spans="2:7" ht="24" customHeight="1" x14ac:dyDescent="0.35">
      <c r="B61" s="58" t="s">
        <v>529</v>
      </c>
      <c r="C61" s="59"/>
      <c r="D61" s="59"/>
      <c r="E61" s="59"/>
      <c r="F61" s="59"/>
      <c r="G61" s="59"/>
    </row>
    <row r="64" spans="2:7" ht="24" customHeight="1" x14ac:dyDescent="0.45">
      <c r="B64" s="57" t="s">
        <v>530</v>
      </c>
      <c r="C64" s="53"/>
      <c r="D64" s="53"/>
      <c r="E64" s="53"/>
      <c r="F64" s="53"/>
      <c r="G64" s="53"/>
    </row>
    <row r="65" spans="2:7" ht="18" customHeight="1" x14ac:dyDescent="0.35">
      <c r="B65" s="55" t="s">
        <v>531</v>
      </c>
      <c r="C65" s="56"/>
      <c r="D65" s="56"/>
      <c r="E65" s="56"/>
      <c r="F65" s="56"/>
      <c r="G65" s="56"/>
    </row>
    <row r="66" spans="2:7" ht="18" customHeight="1" x14ac:dyDescent="0.35">
      <c r="B66" s="56"/>
      <c r="C66" s="56"/>
      <c r="D66" s="56"/>
      <c r="E66" s="56"/>
      <c r="F66" s="56"/>
      <c r="G66" s="56"/>
    </row>
    <row r="67" spans="2:7" ht="20" customHeight="1" x14ac:dyDescent="0.45">
      <c r="B67" s="19" t="s">
        <v>532</v>
      </c>
    </row>
    <row r="68" spans="2:7" ht="22" customHeight="1" x14ac:dyDescent="0.35">
      <c r="B68" s="27" t="s">
        <v>351</v>
      </c>
      <c r="C68" s="27" t="s">
        <v>139</v>
      </c>
      <c r="D68" s="27" t="s">
        <v>533</v>
      </c>
      <c r="E68" s="27" t="s">
        <v>141</v>
      </c>
    </row>
    <row r="69" spans="2:7" ht="20" customHeight="1" x14ac:dyDescent="0.35">
      <c r="B69" s="24">
        <v>1</v>
      </c>
      <c r="C69" s="22" t="s">
        <v>243</v>
      </c>
      <c r="D69" s="32">
        <v>280</v>
      </c>
      <c r="E69" s="25" t="s">
        <v>355</v>
      </c>
    </row>
    <row r="70" spans="2:7" ht="20" customHeight="1" x14ac:dyDescent="0.35">
      <c r="B70" s="24">
        <v>2</v>
      </c>
      <c r="C70" s="22" t="s">
        <v>248</v>
      </c>
      <c r="D70" s="32">
        <v>350</v>
      </c>
      <c r="E70" s="25" t="s">
        <v>356</v>
      </c>
    </row>
    <row r="71" spans="2:7" ht="20" customHeight="1" x14ac:dyDescent="0.35">
      <c r="B71" s="24">
        <v>3</v>
      </c>
      <c r="C71" s="22" t="s">
        <v>357</v>
      </c>
      <c r="D71" s="32">
        <v>400</v>
      </c>
      <c r="E71" s="25" t="s">
        <v>358</v>
      </c>
    </row>
    <row r="72" spans="2:7" ht="20" customHeight="1" x14ac:dyDescent="0.35">
      <c r="B72" s="24">
        <v>4</v>
      </c>
      <c r="C72" s="22" t="s">
        <v>359</v>
      </c>
      <c r="D72" s="32">
        <v>320</v>
      </c>
      <c r="E72" s="25" t="s">
        <v>360</v>
      </c>
    </row>
    <row r="73" spans="2:7" ht="20" customHeight="1" x14ac:dyDescent="0.35">
      <c r="B73" s="24">
        <v>5</v>
      </c>
      <c r="C73" s="22" t="s">
        <v>361</v>
      </c>
      <c r="D73" s="32">
        <v>380</v>
      </c>
      <c r="E73" s="25" t="s">
        <v>362</v>
      </c>
    </row>
    <row r="74" spans="2:7" ht="20" customHeight="1" x14ac:dyDescent="0.35">
      <c r="B74" s="24">
        <v>6</v>
      </c>
      <c r="C74" s="22" t="s">
        <v>363</v>
      </c>
      <c r="D74" s="32">
        <v>330</v>
      </c>
      <c r="E74" s="25" t="s">
        <v>364</v>
      </c>
    </row>
    <row r="75" spans="2:7" ht="16" x14ac:dyDescent="0.35">
      <c r="B75" s="61" t="s">
        <v>369</v>
      </c>
      <c r="C75" s="62"/>
      <c r="D75" s="34">
        <f>SUM(D69:D74)</f>
        <v>2060</v>
      </c>
      <c r="E75" s="35" t="s">
        <v>534</v>
      </c>
    </row>
    <row r="77" spans="2:7" ht="20" customHeight="1" x14ac:dyDescent="0.45">
      <c r="B77" s="19" t="s">
        <v>535</v>
      </c>
    </row>
    <row r="78" spans="2:7" ht="24" customHeight="1" x14ac:dyDescent="0.35">
      <c r="B78" s="27" t="s">
        <v>162</v>
      </c>
      <c r="C78" s="27" t="s">
        <v>139</v>
      </c>
      <c r="D78" s="27" t="s">
        <v>163</v>
      </c>
      <c r="E78" s="27" t="s">
        <v>164</v>
      </c>
      <c r="F78" s="27" t="s">
        <v>9</v>
      </c>
      <c r="G78" s="27" t="s">
        <v>165</v>
      </c>
    </row>
    <row r="79" spans="2:7" ht="22" customHeight="1" x14ac:dyDescent="0.35">
      <c r="B79" s="21" t="s">
        <v>241</v>
      </c>
      <c r="C79" s="22" t="s">
        <v>143</v>
      </c>
      <c r="D79" s="28">
        <f>COUNT(D69:D74)</f>
        <v>6</v>
      </c>
      <c r="E79" s="29">
        <f>COUNT(D69:D74)</f>
        <v>6</v>
      </c>
      <c r="F79" s="24" t="s">
        <v>144</v>
      </c>
      <c r="G79" s="25" t="s">
        <v>536</v>
      </c>
    </row>
    <row r="80" spans="2:7" ht="22" customHeight="1" x14ac:dyDescent="0.35">
      <c r="B80" s="21" t="s">
        <v>537</v>
      </c>
      <c r="C80" s="22" t="s">
        <v>538</v>
      </c>
      <c r="D80" s="28">
        <f>SUM(D69:D74)</f>
        <v>2060</v>
      </c>
      <c r="E80" s="36">
        <f>SUM(D69:D74)</f>
        <v>2060</v>
      </c>
      <c r="F80" s="24" t="s">
        <v>77</v>
      </c>
      <c r="G80" s="25" t="s">
        <v>539</v>
      </c>
    </row>
    <row r="81" spans="2:7" ht="22" customHeight="1" x14ac:dyDescent="0.35">
      <c r="B81" s="21" t="s">
        <v>540</v>
      </c>
      <c r="C81" s="22" t="s">
        <v>340</v>
      </c>
      <c r="D81" s="28" t="s">
        <v>541</v>
      </c>
      <c r="E81" s="18">
        <f>AVERAGE(D69:D74)</f>
        <v>343.33333333333331</v>
      </c>
      <c r="F81" s="24" t="s">
        <v>77</v>
      </c>
      <c r="G81" s="25" t="s">
        <v>542</v>
      </c>
    </row>
    <row r="82" spans="2:7" ht="24" customHeight="1" x14ac:dyDescent="0.35">
      <c r="B82" s="58" t="s">
        <v>543</v>
      </c>
      <c r="C82" s="59"/>
      <c r="D82" s="59"/>
      <c r="E82" s="59"/>
      <c r="F82" s="59"/>
      <c r="G82" s="59"/>
    </row>
    <row r="85" spans="2:7" ht="24" customHeight="1" x14ac:dyDescent="0.45">
      <c r="B85" s="57" t="s">
        <v>544</v>
      </c>
      <c r="C85" s="53"/>
      <c r="D85" s="53"/>
      <c r="E85" s="53"/>
      <c r="F85" s="53"/>
      <c r="G85" s="53"/>
    </row>
    <row r="86" spans="2:7" ht="18" customHeight="1" x14ac:dyDescent="0.35">
      <c r="B86" s="55" t="s">
        <v>545</v>
      </c>
      <c r="C86" s="56"/>
      <c r="D86" s="56"/>
      <c r="E86" s="56"/>
      <c r="F86" s="56"/>
      <c r="G86" s="56"/>
    </row>
    <row r="87" spans="2:7" ht="18" customHeight="1" x14ac:dyDescent="0.35">
      <c r="B87" s="56"/>
      <c r="C87" s="56"/>
      <c r="D87" s="56"/>
      <c r="E87" s="56"/>
      <c r="F87" s="56"/>
      <c r="G87" s="56"/>
    </row>
    <row r="88" spans="2:7" ht="20" customHeight="1" x14ac:dyDescent="0.45">
      <c r="B88" s="19" t="s">
        <v>546</v>
      </c>
    </row>
    <row r="89" spans="2:7" ht="25" customHeight="1" x14ac:dyDescent="0.35">
      <c r="B89" s="2" t="s">
        <v>311</v>
      </c>
      <c r="C89" s="2" t="s">
        <v>312</v>
      </c>
      <c r="D89" s="2" t="s">
        <v>313</v>
      </c>
      <c r="E89" s="2" t="s">
        <v>314</v>
      </c>
      <c r="F89" s="2" t="s">
        <v>315</v>
      </c>
      <c r="G89" s="2" t="s">
        <v>141</v>
      </c>
    </row>
    <row r="90" spans="2:7" ht="20" customHeight="1" x14ac:dyDescent="0.35">
      <c r="B90" s="24">
        <v>1</v>
      </c>
      <c r="C90" s="24" t="s">
        <v>547</v>
      </c>
      <c r="D90" s="30">
        <v>2.5</v>
      </c>
      <c r="E90" s="31">
        <v>1</v>
      </c>
      <c r="F90" s="32">
        <f t="shared" ref="F90:F105" si="0">D90*E90</f>
        <v>2.5</v>
      </c>
      <c r="G90" s="25" t="s">
        <v>548</v>
      </c>
    </row>
    <row r="91" spans="2:7" ht="20" customHeight="1" x14ac:dyDescent="0.35">
      <c r="B91" s="24">
        <v>2</v>
      </c>
      <c r="C91" s="24" t="s">
        <v>549</v>
      </c>
      <c r="D91" s="30">
        <v>7.5</v>
      </c>
      <c r="E91" s="31">
        <v>5</v>
      </c>
      <c r="F91" s="32">
        <f t="shared" si="0"/>
        <v>37.5</v>
      </c>
      <c r="G91" s="25" t="s">
        <v>550</v>
      </c>
    </row>
    <row r="92" spans="2:7" ht="20" customHeight="1" x14ac:dyDescent="0.35">
      <c r="B92" s="24">
        <v>3</v>
      </c>
      <c r="C92" s="24" t="s">
        <v>551</v>
      </c>
      <c r="D92" s="30">
        <v>12.5</v>
      </c>
      <c r="E92" s="31">
        <v>8</v>
      </c>
      <c r="F92" s="32">
        <f t="shared" si="0"/>
        <v>100</v>
      </c>
      <c r="G92" s="25" t="s">
        <v>552</v>
      </c>
    </row>
    <row r="93" spans="2:7" ht="20" customHeight="1" x14ac:dyDescent="0.35">
      <c r="B93" s="24">
        <v>4</v>
      </c>
      <c r="C93" s="24" t="s">
        <v>553</v>
      </c>
      <c r="D93" s="30">
        <v>17.5</v>
      </c>
      <c r="E93" s="31">
        <v>2</v>
      </c>
      <c r="F93" s="32">
        <f t="shared" si="0"/>
        <v>35</v>
      </c>
      <c r="G93" s="25" t="s">
        <v>554</v>
      </c>
    </row>
    <row r="94" spans="2:7" ht="20" customHeight="1" x14ac:dyDescent="0.35">
      <c r="B94" s="24">
        <v>5</v>
      </c>
      <c r="C94" s="24" t="s">
        <v>555</v>
      </c>
      <c r="D94" s="30">
        <v>22.5</v>
      </c>
      <c r="E94" s="31">
        <v>5</v>
      </c>
      <c r="F94" s="32">
        <f t="shared" si="0"/>
        <v>112.5</v>
      </c>
      <c r="G94" s="25" t="s">
        <v>556</v>
      </c>
    </row>
    <row r="95" spans="2:7" ht="20" customHeight="1" x14ac:dyDescent="0.35">
      <c r="B95" s="24">
        <v>6</v>
      </c>
      <c r="C95" s="24" t="s">
        <v>557</v>
      </c>
      <c r="D95" s="30">
        <v>27.5</v>
      </c>
      <c r="E95" s="31">
        <v>6</v>
      </c>
      <c r="F95" s="32">
        <f t="shared" si="0"/>
        <v>165</v>
      </c>
      <c r="G95" s="25" t="s">
        <v>558</v>
      </c>
    </row>
    <row r="96" spans="2:7" ht="20" customHeight="1" x14ac:dyDescent="0.35">
      <c r="B96" s="24">
        <v>7</v>
      </c>
      <c r="C96" s="24" t="s">
        <v>559</v>
      </c>
      <c r="D96" s="30">
        <v>32.5</v>
      </c>
      <c r="E96" s="31">
        <v>4</v>
      </c>
      <c r="F96" s="32">
        <f t="shared" si="0"/>
        <v>130</v>
      </c>
      <c r="G96" s="25" t="s">
        <v>560</v>
      </c>
    </row>
    <row r="97" spans="2:7" ht="20" customHeight="1" x14ac:dyDescent="0.35">
      <c r="B97" s="24">
        <v>8</v>
      </c>
      <c r="C97" s="24" t="s">
        <v>561</v>
      </c>
      <c r="D97" s="30">
        <v>37.5</v>
      </c>
      <c r="E97" s="31">
        <v>3</v>
      </c>
      <c r="F97" s="32">
        <f t="shared" si="0"/>
        <v>112.5</v>
      </c>
      <c r="G97" s="25" t="s">
        <v>562</v>
      </c>
    </row>
    <row r="98" spans="2:7" ht="20" customHeight="1" x14ac:dyDescent="0.35">
      <c r="B98" s="24">
        <v>9</v>
      </c>
      <c r="C98" s="24" t="s">
        <v>563</v>
      </c>
      <c r="D98" s="30">
        <v>42.5</v>
      </c>
      <c r="E98" s="31">
        <v>0</v>
      </c>
      <c r="F98" s="32">
        <f t="shared" si="0"/>
        <v>0</v>
      </c>
      <c r="G98" s="25" t="s">
        <v>564</v>
      </c>
    </row>
    <row r="99" spans="2:7" ht="20" customHeight="1" x14ac:dyDescent="0.35">
      <c r="B99" s="24">
        <v>10</v>
      </c>
      <c r="C99" s="24" t="s">
        <v>565</v>
      </c>
      <c r="D99" s="30">
        <v>47.5</v>
      </c>
      <c r="E99" s="31">
        <v>1</v>
      </c>
      <c r="F99" s="32">
        <f t="shared" si="0"/>
        <v>47.5</v>
      </c>
      <c r="G99" s="25" t="s">
        <v>566</v>
      </c>
    </row>
    <row r="100" spans="2:7" ht="20" customHeight="1" x14ac:dyDescent="0.35">
      <c r="B100" s="24">
        <v>11</v>
      </c>
      <c r="C100" s="24" t="s">
        <v>567</v>
      </c>
      <c r="D100" s="30">
        <v>52.5</v>
      </c>
      <c r="E100" s="31">
        <v>0</v>
      </c>
      <c r="F100" s="32">
        <f t="shared" si="0"/>
        <v>0</v>
      </c>
      <c r="G100" s="25" t="s">
        <v>568</v>
      </c>
    </row>
    <row r="101" spans="2:7" ht="20" customHeight="1" x14ac:dyDescent="0.35">
      <c r="B101" s="24">
        <v>12</v>
      </c>
      <c r="C101" s="24" t="s">
        <v>569</v>
      </c>
      <c r="D101" s="30">
        <v>57.5</v>
      </c>
      <c r="E101" s="31">
        <v>0</v>
      </c>
      <c r="F101" s="32">
        <f t="shared" si="0"/>
        <v>0</v>
      </c>
      <c r="G101" s="25" t="s">
        <v>570</v>
      </c>
    </row>
    <row r="102" spans="2:7" ht="20" customHeight="1" x14ac:dyDescent="0.35">
      <c r="B102" s="24">
        <v>13</v>
      </c>
      <c r="C102" s="24" t="s">
        <v>571</v>
      </c>
      <c r="D102" s="30">
        <v>62.5</v>
      </c>
      <c r="E102" s="31">
        <v>3</v>
      </c>
      <c r="F102" s="32">
        <f t="shared" si="0"/>
        <v>187.5</v>
      </c>
      <c r="G102" s="25" t="s">
        <v>572</v>
      </c>
    </row>
    <row r="103" spans="2:7" ht="20" customHeight="1" x14ac:dyDescent="0.35">
      <c r="B103" s="24">
        <v>14</v>
      </c>
      <c r="C103" s="24" t="s">
        <v>573</v>
      </c>
      <c r="D103" s="30">
        <v>67.5</v>
      </c>
      <c r="E103" s="31">
        <v>3</v>
      </c>
      <c r="F103" s="32">
        <f t="shared" si="0"/>
        <v>202.5</v>
      </c>
      <c r="G103" s="25" t="s">
        <v>574</v>
      </c>
    </row>
    <row r="104" spans="2:7" ht="20" customHeight="1" x14ac:dyDescent="0.35">
      <c r="B104" s="24">
        <v>15</v>
      </c>
      <c r="C104" s="24" t="s">
        <v>575</v>
      </c>
      <c r="D104" s="30">
        <v>72.5</v>
      </c>
      <c r="E104" s="31">
        <v>3</v>
      </c>
      <c r="F104" s="32">
        <f t="shared" si="0"/>
        <v>217.5</v>
      </c>
      <c r="G104" s="25" t="s">
        <v>576</v>
      </c>
    </row>
    <row r="105" spans="2:7" ht="20" customHeight="1" x14ac:dyDescent="0.35">
      <c r="B105" s="24">
        <v>16</v>
      </c>
      <c r="C105" s="24" t="s">
        <v>577</v>
      </c>
      <c r="D105" s="30">
        <v>77.5</v>
      </c>
      <c r="E105" s="31">
        <v>1</v>
      </c>
      <c r="F105" s="32">
        <f t="shared" si="0"/>
        <v>77.5</v>
      </c>
      <c r="G105" s="25" t="s">
        <v>578</v>
      </c>
    </row>
    <row r="106" spans="2:7" ht="22" customHeight="1" x14ac:dyDescent="0.35">
      <c r="B106" s="61" t="s">
        <v>330</v>
      </c>
      <c r="C106" s="62"/>
      <c r="D106" s="62"/>
      <c r="E106" s="33">
        <f>SUM(E90:E105)</f>
        <v>45</v>
      </c>
      <c r="F106" s="34">
        <f>SUM(F90:F105)</f>
        <v>1427.5</v>
      </c>
      <c r="G106" s="35" t="s">
        <v>579</v>
      </c>
    </row>
    <row r="108" spans="2:7" ht="20" customHeight="1" x14ac:dyDescent="0.45">
      <c r="B108" s="19" t="s">
        <v>580</v>
      </c>
    </row>
    <row r="109" spans="2:7" ht="24" customHeight="1" x14ac:dyDescent="0.35">
      <c r="B109" s="27" t="s">
        <v>162</v>
      </c>
      <c r="C109" s="27" t="s">
        <v>139</v>
      </c>
      <c r="D109" s="27" t="s">
        <v>163</v>
      </c>
      <c r="E109" s="27" t="s">
        <v>164</v>
      </c>
      <c r="F109" s="27" t="s">
        <v>9</v>
      </c>
      <c r="G109" s="27" t="s">
        <v>165</v>
      </c>
    </row>
    <row r="110" spans="2:7" ht="22" customHeight="1" x14ac:dyDescent="0.35">
      <c r="B110" s="21" t="s">
        <v>581</v>
      </c>
      <c r="C110" s="22" t="s">
        <v>334</v>
      </c>
      <c r="D110" s="28">
        <f>F106</f>
        <v>1427.5</v>
      </c>
      <c r="E110" s="36">
        <f>F106</f>
        <v>1427.5</v>
      </c>
      <c r="F110" s="24" t="s">
        <v>335</v>
      </c>
      <c r="G110" s="25" t="s">
        <v>582</v>
      </c>
    </row>
    <row r="111" spans="2:7" ht="22" customHeight="1" x14ac:dyDescent="0.35">
      <c r="B111" s="21" t="s">
        <v>583</v>
      </c>
      <c r="C111" s="22" t="s">
        <v>143</v>
      </c>
      <c r="D111" s="28">
        <f>E106</f>
        <v>45</v>
      </c>
      <c r="E111" s="37">
        <f>E106</f>
        <v>45</v>
      </c>
      <c r="F111" s="24" t="s">
        <v>144</v>
      </c>
      <c r="G111" s="25" t="s">
        <v>584</v>
      </c>
    </row>
    <row r="112" spans="2:7" ht="22" customHeight="1" x14ac:dyDescent="0.35">
      <c r="B112" s="21" t="s">
        <v>540</v>
      </c>
      <c r="C112" s="22" t="s">
        <v>340</v>
      </c>
      <c r="D112" s="28" t="s">
        <v>341</v>
      </c>
      <c r="E112" s="18">
        <f>F106/E106</f>
        <v>31.722222222222221</v>
      </c>
      <c r="F112" s="24" t="s">
        <v>77</v>
      </c>
      <c r="G112" s="25" t="s">
        <v>585</v>
      </c>
    </row>
    <row r="113" spans="2:7" ht="24" customHeight="1" x14ac:dyDescent="0.35">
      <c r="B113" s="58" t="s">
        <v>586</v>
      </c>
      <c r="C113" s="59"/>
      <c r="D113" s="59"/>
      <c r="E113" s="59"/>
      <c r="F113" s="59"/>
      <c r="G113" s="59"/>
    </row>
  </sheetData>
  <mergeCells count="20">
    <mergeCell ref="B2:G2"/>
    <mergeCell ref="B42:G42"/>
    <mergeCell ref="B61:G61"/>
    <mergeCell ref="B82:G82"/>
    <mergeCell ref="B7:G8"/>
    <mergeCell ref="B26:G27"/>
    <mergeCell ref="B43:G44"/>
    <mergeCell ref="B64:G64"/>
    <mergeCell ref="B3:G3"/>
    <mergeCell ref="B86:G87"/>
    <mergeCell ref="B6:G6"/>
    <mergeCell ref="B85:G85"/>
    <mergeCell ref="B4:G4"/>
    <mergeCell ref="B113:G113"/>
    <mergeCell ref="B106:D106"/>
    <mergeCell ref="B25:G25"/>
    <mergeCell ref="B22:G22"/>
    <mergeCell ref="B65:G66"/>
    <mergeCell ref="B39:G39"/>
    <mergeCell ref="B75:C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2"/>
  <sheetViews>
    <sheetView workbookViewId="0"/>
  </sheetViews>
  <sheetFormatPr defaultRowHeight="14.5" x14ac:dyDescent="0.35"/>
  <cols>
    <col min="1" max="1" width="4" customWidth="1"/>
    <col min="2" max="2" width="38" customWidth="1"/>
    <col min="3" max="3" width="16" customWidth="1"/>
    <col min="4" max="4" width="36" customWidth="1"/>
    <col min="5" max="6" width="14" customWidth="1"/>
    <col min="7" max="7" width="52" customWidth="1"/>
  </cols>
  <sheetData>
    <row r="2" spans="2:7" ht="30" customHeight="1" x14ac:dyDescent="0.35">
      <c r="B2" s="52" t="s">
        <v>587</v>
      </c>
      <c r="C2" s="53"/>
      <c r="D2" s="53"/>
      <c r="E2" s="53"/>
      <c r="F2" s="53"/>
      <c r="G2" s="53"/>
    </row>
    <row r="3" spans="2:7" ht="24" customHeight="1" x14ac:dyDescent="0.35">
      <c r="B3" s="50" t="s">
        <v>588</v>
      </c>
      <c r="C3" s="51"/>
      <c r="D3" s="51"/>
      <c r="E3" s="51"/>
      <c r="F3" s="51"/>
      <c r="G3" s="51"/>
    </row>
    <row r="4" spans="2:7" ht="20" customHeight="1" x14ac:dyDescent="0.35">
      <c r="B4" s="54" t="s">
        <v>589</v>
      </c>
      <c r="C4" s="51"/>
      <c r="D4" s="51"/>
      <c r="E4" s="51"/>
      <c r="F4" s="51"/>
      <c r="G4" s="51"/>
    </row>
    <row r="6" spans="2:7" ht="25" customHeight="1" x14ac:dyDescent="0.45">
      <c r="B6" s="1" t="s">
        <v>590</v>
      </c>
    </row>
    <row r="7" spans="2:7" ht="26" customHeight="1" x14ac:dyDescent="0.35">
      <c r="B7" s="2" t="s">
        <v>591</v>
      </c>
      <c r="C7" s="2" t="s">
        <v>139</v>
      </c>
      <c r="D7" s="2" t="s">
        <v>163</v>
      </c>
      <c r="E7" s="2" t="s">
        <v>592</v>
      </c>
      <c r="F7" s="2" t="s">
        <v>9</v>
      </c>
      <c r="G7" s="2" t="s">
        <v>593</v>
      </c>
    </row>
    <row r="8" spans="2:7" ht="26" customHeight="1" x14ac:dyDescent="0.35">
      <c r="B8" s="45" t="s">
        <v>185</v>
      </c>
      <c r="C8" s="3" t="s">
        <v>594</v>
      </c>
      <c r="D8" s="5" t="s">
        <v>595</v>
      </c>
      <c r="E8" s="3" t="s">
        <v>596</v>
      </c>
      <c r="F8" s="7" t="s">
        <v>597</v>
      </c>
      <c r="G8" s="46" t="s">
        <v>598</v>
      </c>
    </row>
    <row r="9" spans="2:7" ht="26" customHeight="1" x14ac:dyDescent="0.35">
      <c r="B9" s="47" t="s">
        <v>599</v>
      </c>
      <c r="C9" s="10" t="s">
        <v>600</v>
      </c>
      <c r="D9" s="12" t="s">
        <v>601</v>
      </c>
      <c r="E9" s="10" t="s">
        <v>602</v>
      </c>
      <c r="F9" s="13" t="s">
        <v>597</v>
      </c>
      <c r="G9" s="48" t="s">
        <v>603</v>
      </c>
    </row>
    <row r="10" spans="2:7" ht="26" customHeight="1" x14ac:dyDescent="0.35">
      <c r="B10" s="45" t="s">
        <v>604</v>
      </c>
      <c r="C10" s="3" t="s">
        <v>605</v>
      </c>
      <c r="D10" s="5" t="s">
        <v>606</v>
      </c>
      <c r="E10" s="3" t="s">
        <v>607</v>
      </c>
      <c r="F10" s="7" t="s">
        <v>608</v>
      </c>
      <c r="G10" s="46" t="s">
        <v>609</v>
      </c>
    </row>
    <row r="11" spans="2:7" ht="26" customHeight="1" x14ac:dyDescent="0.35">
      <c r="B11" s="47" t="s">
        <v>174</v>
      </c>
      <c r="C11" s="10" t="s">
        <v>610</v>
      </c>
      <c r="D11" s="12" t="s">
        <v>611</v>
      </c>
      <c r="E11" s="10" t="s">
        <v>612</v>
      </c>
      <c r="F11" s="13" t="s">
        <v>608</v>
      </c>
      <c r="G11" s="48" t="s">
        <v>613</v>
      </c>
    </row>
    <row r="12" spans="2:7" ht="26" customHeight="1" x14ac:dyDescent="0.35">
      <c r="B12" s="45" t="s">
        <v>614</v>
      </c>
      <c r="C12" s="3" t="s">
        <v>340</v>
      </c>
      <c r="D12" s="5" t="s">
        <v>615</v>
      </c>
      <c r="E12" s="3" t="s">
        <v>616</v>
      </c>
      <c r="F12" s="7" t="s">
        <v>617</v>
      </c>
      <c r="G12" s="46" t="s">
        <v>618</v>
      </c>
    </row>
    <row r="13" spans="2:7" ht="26" customHeight="1" x14ac:dyDescent="0.35">
      <c r="B13" s="47" t="s">
        <v>619</v>
      </c>
      <c r="C13" s="10" t="s">
        <v>340</v>
      </c>
      <c r="D13" s="12" t="s">
        <v>620</v>
      </c>
      <c r="E13" s="10" t="s">
        <v>621</v>
      </c>
      <c r="F13" s="13" t="s">
        <v>617</v>
      </c>
      <c r="G13" s="48" t="s">
        <v>622</v>
      </c>
    </row>
    <row r="14" spans="2:7" ht="26" customHeight="1" x14ac:dyDescent="0.35">
      <c r="B14" s="45" t="s">
        <v>623</v>
      </c>
      <c r="C14" s="3" t="s">
        <v>378</v>
      </c>
      <c r="D14" s="5" t="s">
        <v>624</v>
      </c>
      <c r="E14" s="3" t="s">
        <v>625</v>
      </c>
      <c r="F14" s="7" t="s">
        <v>626</v>
      </c>
      <c r="G14" s="46" t="s">
        <v>627</v>
      </c>
    </row>
    <row r="15" spans="2:7" ht="26" customHeight="1" x14ac:dyDescent="0.35">
      <c r="B15" s="47" t="s">
        <v>628</v>
      </c>
      <c r="C15" s="10" t="s">
        <v>383</v>
      </c>
      <c r="D15" s="12" t="s">
        <v>629</v>
      </c>
      <c r="E15" s="10" t="s">
        <v>27</v>
      </c>
      <c r="F15" s="13" t="s">
        <v>617</v>
      </c>
      <c r="G15" s="48" t="s">
        <v>630</v>
      </c>
    </row>
    <row r="16" spans="2:7" ht="26" customHeight="1" x14ac:dyDescent="0.35">
      <c r="B16" s="45" t="s">
        <v>631</v>
      </c>
      <c r="C16" s="3" t="s">
        <v>632</v>
      </c>
      <c r="D16" s="5" t="s">
        <v>633</v>
      </c>
      <c r="E16" s="3" t="s">
        <v>27</v>
      </c>
      <c r="F16" s="7" t="s">
        <v>634</v>
      </c>
      <c r="G16" s="46" t="s">
        <v>635</v>
      </c>
    </row>
    <row r="18" spans="2:7" ht="25" customHeight="1" x14ac:dyDescent="0.45">
      <c r="B18" s="1" t="s">
        <v>636</v>
      </c>
    </row>
    <row r="19" spans="2:7" ht="24" customHeight="1" x14ac:dyDescent="0.35">
      <c r="B19" s="49" t="s">
        <v>637</v>
      </c>
      <c r="C19" s="63" t="s">
        <v>638</v>
      </c>
      <c r="D19" s="64"/>
      <c r="E19" s="64"/>
      <c r="F19" s="64"/>
      <c r="G19" s="64"/>
    </row>
    <row r="20" spans="2:7" ht="24" customHeight="1" x14ac:dyDescent="0.35">
      <c r="B20" s="49" t="s">
        <v>639</v>
      </c>
      <c r="C20" s="63" t="s">
        <v>640</v>
      </c>
      <c r="D20" s="64"/>
      <c r="E20" s="64"/>
      <c r="F20" s="64"/>
      <c r="G20" s="64"/>
    </row>
    <row r="21" spans="2:7" ht="24" customHeight="1" x14ac:dyDescent="0.35">
      <c r="B21" s="49" t="s">
        <v>641</v>
      </c>
      <c r="C21" s="63" t="s">
        <v>642</v>
      </c>
      <c r="D21" s="64"/>
      <c r="E21" s="64"/>
      <c r="F21" s="64"/>
      <c r="G21" s="64"/>
    </row>
    <row r="22" spans="2:7" ht="24" customHeight="1" x14ac:dyDescent="0.35">
      <c r="B22" s="49" t="s">
        <v>643</v>
      </c>
      <c r="C22" s="63" t="s">
        <v>644</v>
      </c>
      <c r="D22" s="64"/>
      <c r="E22" s="64"/>
      <c r="F22" s="64"/>
      <c r="G22" s="64"/>
    </row>
  </sheetData>
  <mergeCells count="7">
    <mergeCell ref="C22:G22"/>
    <mergeCell ref="B3:G3"/>
    <mergeCell ref="B2:G2"/>
    <mergeCell ref="C21:G21"/>
    <mergeCell ref="C20:G20"/>
    <mergeCell ref="B4:G4"/>
    <mergeCell ref="C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Сводка и Ответы</vt:lpstr>
      <vt:lpstr>Задачи 6-15</vt:lpstr>
      <vt:lpstr>Задачи 1-5</vt:lpstr>
      <vt:lpstr>Теория и формулы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Данил Гайнанов</cp:lastModifiedBy>
  <dcterms:created xsi:type="dcterms:W3CDTF">2026-09-29T05:05:52Z</dcterms:created>
  <dcterms:modified xsi:type="dcterms:W3CDTF">2026-09-29T10:17:58Z</dcterms:modified>
</cp:coreProperties>
</file>