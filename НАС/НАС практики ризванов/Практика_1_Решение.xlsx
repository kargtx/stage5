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и Ответы" sheetId="1" state="visible" r:id="rId1"/>
    <sheet xmlns:r="http://schemas.openxmlformats.org/officeDocument/2006/relationships" name="Задачи 6-15" sheetId="2" state="visible" r:id="rId2"/>
    <sheet xmlns:r="http://schemas.openxmlformats.org/officeDocument/2006/relationships" name="Задачи 1-5" sheetId="3" state="visible" r:id="rId3"/>
    <sheet xmlns:r="http://schemas.openxmlformats.org/officeDocument/2006/relationships" name="Теория и формул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####"/>
    <numFmt numFmtId="165" formatCode="0.00000"/>
    <numFmt numFmtId="166" formatCode="0.0000"/>
    <numFmt numFmtId="167" formatCode="0.000000"/>
    <numFmt numFmtId="168" formatCode="0.0"/>
    <numFmt numFmtId="169" formatCode="#,##0.0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1"/>
    </font>
    <font>
      <name val="Segoe UI"/>
      <color rgb="00E0E0E0"/>
      <sz val="10"/>
    </font>
    <font>
      <name val="Segoe UI"/>
      <b val="1"/>
      <color rgb="00FFFFFF"/>
      <sz val="11"/>
    </font>
    <font>
      <name val="Segoe UI"/>
      <i val="1"/>
      <color rgb="00595959"/>
      <sz val="9"/>
    </font>
    <font>
      <name val="Segoe UI"/>
      <b val="1"/>
      <color rgb="001B365D"/>
      <sz val="11"/>
    </font>
    <font>
      <name val="Segoe UI"/>
      <b val="1"/>
      <color rgb="00FFFFFF"/>
      <sz val="10"/>
    </font>
    <font>
      <name val="Segoe UI"/>
      <color rgb="00262626"/>
      <sz val="10"/>
    </font>
    <font>
      <name val="Segoe UI"/>
      <b val="1"/>
      <color rgb="00262626"/>
      <sz val="10"/>
    </font>
    <font>
      <name val="Segoe UI"/>
      <i val="1"/>
      <color rgb="001F4E78"/>
      <sz val="10"/>
    </font>
    <font>
      <name val="Segoe UI"/>
      <b val="1"/>
      <color rgb="001E4620"/>
      <sz val="11"/>
    </font>
    <font>
      <name val="Segoe UI"/>
      <b val="1"/>
      <color rgb="001B365D"/>
      <sz val="12"/>
    </font>
    <font>
      <name val="Segoe UI"/>
      <color rgb="001F4E78"/>
      <sz val="9"/>
      <u val="single"/>
    </font>
    <font>
      <name val="Segoe UI"/>
      <b val="1"/>
      <color rgb="001E4620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  <fill>
      <patternFill patternType="solid">
        <fgColor rgb="00335E99"/>
        <bgColor rgb="00335E9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9FAFC"/>
        <bgColor rgb="00F9FAFC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70AD47"/>
      </left>
      <right style="thin">
        <color rgb="0070AD47"/>
      </right>
      <top style="thin">
        <color rgb="0070AD47"/>
      </top>
      <bottom style="thin">
        <color rgb="0070AD47"/>
      </bottom>
    </border>
    <border>
      <top style="medium">
        <color rgb="00385723"/>
      </top>
      <bottom style="medium">
        <color rgb="0038572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12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165" fontId="11" fillId="6" borderId="2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166" fontId="11" fillId="6" borderId="2" applyAlignment="1" pivotButton="0" quotePrefix="0" xfId="0">
      <alignment horizontal="right" vertical="center"/>
    </xf>
    <xf numFmtId="167" fontId="11" fillId="6" borderId="2" applyAlignment="1" pivotButton="0" quotePrefix="0" xfId="0">
      <alignment horizontal="right" vertical="center"/>
    </xf>
    <xf numFmtId="2" fontId="11" fillId="6" borderId="2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" fontId="11" fillId="6" borderId="2" applyAlignment="1" pivotButton="0" quotePrefix="0" xfId="0">
      <alignment horizontal="right" vertical="center"/>
    </xf>
    <xf numFmtId="0" fontId="9" fillId="7" borderId="3" applyAlignment="1" pivotButton="0" quotePrefix="0" xfId="0">
      <alignment horizontal="left" vertical="center"/>
    </xf>
    <xf numFmtId="0" fontId="0" fillId="7" borderId="3" pivotButton="0" quotePrefix="0" xfId="0"/>
    <xf numFmtId="0" fontId="4" fillId="2" borderId="0" pivotButton="0" quotePrefix="0" xfId="0"/>
    <xf numFmtId="168" fontId="8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169" fontId="9" fillId="0" borderId="1" applyAlignment="1" pivotButton="0" quotePrefix="0" xfId="0">
      <alignment horizontal="right" vertical="center"/>
    </xf>
    <xf numFmtId="0" fontId="9" fillId="8" borderId="4" applyAlignment="1" pivotButton="0" quotePrefix="0" xfId="0">
      <alignment horizontal="right" vertical="center"/>
    </xf>
    <xf numFmtId="0" fontId="0" fillId="8" borderId="4" pivotButton="0" quotePrefix="0" xfId="0"/>
    <xf numFmtId="3" fontId="9" fillId="8" borderId="4" applyAlignment="1" pivotButton="0" quotePrefix="0" xfId="0">
      <alignment horizontal="right" vertical="center"/>
    </xf>
    <xf numFmtId="169" fontId="9" fillId="8" borderId="4" applyAlignment="1" pivotButton="0" quotePrefix="0" xfId="0">
      <alignment horizontal="right" vertical="center"/>
    </xf>
    <xf numFmtId="0" fontId="5" fillId="8" borderId="4" applyAlignment="1" pivotButton="0" quotePrefix="0" xfId="0">
      <alignment horizontal="left" vertical="center"/>
    </xf>
    <xf numFmtId="169" fontId="11" fillId="6" borderId="2" applyAlignment="1" pivotButton="0" quotePrefix="0" xfId="0">
      <alignment horizontal="right" vertical="center"/>
    </xf>
    <xf numFmtId="3" fontId="11" fillId="6" borderId="2" applyAlignment="1" pivotButton="0" quotePrefix="0" xfId="0">
      <alignment horizontal="right" vertical="center"/>
    </xf>
    <xf numFmtId="2" fontId="8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2" fontId="5" fillId="8" borderId="4" applyAlignment="1" pivotButton="0" quotePrefix="0" xfId="0">
      <alignment horizontal="right" vertical="center"/>
    </xf>
    <xf numFmtId="4" fontId="9" fillId="8" borderId="4" applyAlignment="1" pivotButton="0" quotePrefix="0" xfId="0">
      <alignment horizontal="right" vertical="center"/>
    </xf>
    <xf numFmtId="1" fontId="9" fillId="0" borderId="1" applyAlignment="1" pivotButton="0" quotePrefix="0" xfId="0">
      <alignment horizontal="right" vertical="center"/>
    </xf>
    <xf numFmtId="1" fontId="9" fillId="8" borderId="4" applyAlignment="1" pivotButton="0" quotePrefix="0" xfId="0">
      <alignment horizontal="right" vertical="center"/>
    </xf>
    <xf numFmtId="2" fontId="9" fillId="8" borderId="4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7;&#1072;&#1076;&#1072;&#1095;&#1080; 6-15'!A6" TargetMode="External" Id="rId1"/><Relationship Type="http://schemas.openxmlformats.org/officeDocument/2006/relationships/hyperlink" Target="#'&#1047;&#1072;&#1076;&#1072;&#1095;&#1080; 6-15'!A6" TargetMode="External" Id="rId2"/><Relationship Type="http://schemas.openxmlformats.org/officeDocument/2006/relationships/hyperlink" Target="#'&#1047;&#1072;&#1076;&#1072;&#1095;&#1080; 6-15'!A26" TargetMode="External" Id="rId3"/><Relationship Type="http://schemas.openxmlformats.org/officeDocument/2006/relationships/hyperlink" Target="#'&#1047;&#1072;&#1076;&#1072;&#1095;&#1080; 6-15'!A26" TargetMode="External" Id="rId4"/><Relationship Type="http://schemas.openxmlformats.org/officeDocument/2006/relationships/hyperlink" Target="#'&#1047;&#1072;&#1076;&#1072;&#1095;&#1080; 6-15'!A43" TargetMode="External" Id="rId5"/><Relationship Type="http://schemas.openxmlformats.org/officeDocument/2006/relationships/hyperlink" Target="#'&#1047;&#1072;&#1076;&#1072;&#1095;&#1080; 6-15'!A43" TargetMode="External" Id="rId6"/><Relationship Type="http://schemas.openxmlformats.org/officeDocument/2006/relationships/hyperlink" Target="#'&#1047;&#1072;&#1076;&#1072;&#1095;&#1080; 6-15'!A63" TargetMode="External" Id="rId7"/><Relationship Type="http://schemas.openxmlformats.org/officeDocument/2006/relationships/hyperlink" Target="#'&#1047;&#1072;&#1076;&#1072;&#1095;&#1080; 6-15'!A63" TargetMode="External" Id="rId8"/><Relationship Type="http://schemas.openxmlformats.org/officeDocument/2006/relationships/hyperlink" Target="#'&#1047;&#1072;&#1076;&#1072;&#1095;&#1080; 6-15'!A82" TargetMode="External" Id="rId9"/><Relationship Type="http://schemas.openxmlformats.org/officeDocument/2006/relationships/hyperlink" Target="#'&#1047;&#1072;&#1076;&#1072;&#1095;&#1080; 6-15'!A82" TargetMode="External" Id="rId10"/><Relationship Type="http://schemas.openxmlformats.org/officeDocument/2006/relationships/hyperlink" Target="#'&#1047;&#1072;&#1076;&#1072;&#1095;&#1080; 6-15'!A82" TargetMode="External" Id="rId11"/><Relationship Type="http://schemas.openxmlformats.org/officeDocument/2006/relationships/hyperlink" Target="#'&#1047;&#1072;&#1076;&#1072;&#1095;&#1080; 6-15'!A82" TargetMode="External" Id="rId12"/><Relationship Type="http://schemas.openxmlformats.org/officeDocument/2006/relationships/hyperlink" Target="#'&#1047;&#1072;&#1076;&#1072;&#1095;&#1080; 6-15'!A105" TargetMode="External" Id="rId13"/><Relationship Type="http://schemas.openxmlformats.org/officeDocument/2006/relationships/hyperlink" Target="#'&#1047;&#1072;&#1076;&#1072;&#1095;&#1080; 6-15'!A105" TargetMode="External" Id="rId14"/><Relationship Type="http://schemas.openxmlformats.org/officeDocument/2006/relationships/hyperlink" Target="#'&#1047;&#1072;&#1076;&#1072;&#1095;&#1080; 6-15'!A105" TargetMode="External" Id="rId15"/><Relationship Type="http://schemas.openxmlformats.org/officeDocument/2006/relationships/hyperlink" Target="#'&#1047;&#1072;&#1076;&#1072;&#1095;&#1080; 6-15'!A105" TargetMode="External" Id="rId16"/><Relationship Type="http://schemas.openxmlformats.org/officeDocument/2006/relationships/hyperlink" Target="#'&#1047;&#1072;&#1076;&#1072;&#1095;&#1080; 6-15'!A128" TargetMode="External" Id="rId17"/><Relationship Type="http://schemas.openxmlformats.org/officeDocument/2006/relationships/hyperlink" Target="#'&#1047;&#1072;&#1076;&#1072;&#1095;&#1080; 6-15'!A151" TargetMode="External" Id="rId18"/><Relationship Type="http://schemas.openxmlformats.org/officeDocument/2006/relationships/hyperlink" Target="#'&#1047;&#1072;&#1076;&#1072;&#1095;&#1080; 6-15'!A176" TargetMode="External" Id="rId19"/><Relationship Type="http://schemas.openxmlformats.org/officeDocument/2006/relationships/hyperlink" Target="#'&#1047;&#1072;&#1076;&#1072;&#1095;&#1080; 6-15'!A197" TargetMode="External" Id="rId20"/><Relationship Type="http://schemas.openxmlformats.org/officeDocument/2006/relationships/hyperlink" Target="#'&#1047;&#1072;&#1076;&#1072;&#1095;&#1080; 6-15'!A197" TargetMode="External" Id="rId21"/><Relationship Type="http://schemas.openxmlformats.org/officeDocument/2006/relationships/hyperlink" Target="#'&#1047;&#1072;&#1076;&#1072;&#1095;&#1080; 6-15'!A197" TargetMode="External" Id="rId22"/><Relationship Type="http://schemas.openxmlformats.org/officeDocument/2006/relationships/hyperlink" Target="#'&#1047;&#1072;&#1076;&#1072;&#1095;&#1080; 6-15'!A197" TargetMode="External" Id="rId23"/><Relationship Type="http://schemas.openxmlformats.org/officeDocument/2006/relationships/hyperlink" Target="#'&#1047;&#1072;&#1076;&#1072;&#1095;&#1080; 1-5'!A6" TargetMode="External" Id="rId24"/><Relationship Type="http://schemas.openxmlformats.org/officeDocument/2006/relationships/hyperlink" Target="#'&#1047;&#1072;&#1076;&#1072;&#1095;&#1080; 1-5'!A25" TargetMode="External" Id="rId25"/><Relationship Type="http://schemas.openxmlformats.org/officeDocument/2006/relationships/hyperlink" Target="#'&#1047;&#1072;&#1076;&#1072;&#1095;&#1080; 1-5'!A42" TargetMode="External" Id="rId26"/><Relationship Type="http://schemas.openxmlformats.org/officeDocument/2006/relationships/hyperlink" Target="#'&#1047;&#1072;&#1076;&#1072;&#1095;&#1080; 1-5'!A64" TargetMode="External" Id="rId27"/><Relationship Type="http://schemas.openxmlformats.org/officeDocument/2006/relationships/hyperlink" Target="#'&#1047;&#1072;&#1076;&#1072;&#1095;&#1080; 1-5'!A85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9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18" customWidth="1" min="2" max="2"/>
    <col width="44" customWidth="1" min="3" max="3"/>
    <col width="26" customWidth="1" min="4" max="4"/>
    <col width="36" customWidth="1" min="5" max="5"/>
    <col width="22" customWidth="1" min="6" max="6"/>
    <col width="10" customWidth="1" min="7" max="7"/>
    <col width="22" customWidth="1" min="8" max="8"/>
    <col width="12" customWidth="1" min="9" max="9"/>
  </cols>
  <sheetData>
    <row r="2" ht="30" customHeight="1">
      <c r="B2" s="1" t="inlineStr">
        <is>
          <t>ПРАКТИЧЕСКАЯ РАБОТА № 1 — СВОДНЫЕ РЕЗУЛЬТАТЫ</t>
        </is>
      </c>
      <c r="C2" s="2" t="n"/>
      <c r="D2" s="2" t="n"/>
      <c r="E2" s="2" t="n"/>
      <c r="F2" s="2" t="n"/>
      <c r="G2" s="2" t="n"/>
      <c r="H2" s="2" t="n"/>
    </row>
    <row r="3" ht="24" customHeight="1">
      <c r="B3" s="3" t="inlineStr">
        <is>
          <t>Определение количественных характеристик надежности по статистическим данным об отказах изделия</t>
        </is>
      </c>
      <c r="C3" s="4" t="n"/>
      <c r="D3" s="4" t="n"/>
      <c r="E3" s="4" t="n"/>
      <c r="F3" s="4" t="n"/>
      <c r="G3" s="4" t="n"/>
      <c r="H3" s="4" t="n"/>
    </row>
    <row r="4" ht="20" customHeight="1">
      <c r="B4" s="5" t="inlineStr">
        <is>
          <t>Дисциплина: Надежность автоматизированных систем (НАС)  |  Преподаватель: Ризванов  |  Выполнил: Студент</t>
        </is>
      </c>
      <c r="C4" s="4" t="n"/>
      <c r="D4" s="4" t="n"/>
      <c r="E4" s="4" t="n"/>
      <c r="F4" s="4" t="n"/>
      <c r="G4" s="4" t="n"/>
      <c r="H4" s="4" t="n"/>
    </row>
    <row r="6" ht="25" customHeight="1">
      <c r="B6" s="6" t="inlineStr">
        <is>
          <t>1. РЕЗУЛЬТАТЫ РЕШЕНИЯ ЗАДАЧ ДЛЯ САМОСТОЯТЕЛЬНОГО РЕШЕНИЯ (№ 6 – 15)</t>
        </is>
      </c>
    </row>
    <row r="7" ht="28" customHeight="1">
      <c r="B7" s="7" t="inlineStr">
        <is>
          <t>№ задачи</t>
        </is>
      </c>
      <c r="C7" s="7" t="inlineStr">
        <is>
          <t>Краткое условие задачи</t>
        </is>
      </c>
      <c r="D7" s="7" t="inlineStr">
        <is>
          <t>Определяемые параметры</t>
        </is>
      </c>
      <c r="E7" s="7" t="inlineStr">
        <is>
          <t>Расчетная формула (математическая)</t>
        </is>
      </c>
      <c r="F7" s="7" t="inlineStr">
        <is>
          <t>Результат вычислений</t>
        </is>
      </c>
      <c r="G7" s="7" t="inlineStr">
        <is>
          <t>Ед. изм.</t>
        </is>
      </c>
      <c r="H7" s="7" t="inlineStr">
        <is>
          <t>Ссылка на лист решения</t>
        </is>
      </c>
      <c r="I7" s="7" t="inlineStr">
        <is>
          <t>Статус</t>
        </is>
      </c>
    </row>
    <row r="8" ht="21" customHeight="1">
      <c r="B8" s="8" t="inlineStr">
        <is>
          <t>Задача 6</t>
        </is>
      </c>
      <c r="C8" s="9" t="inlineStr">
        <is>
          <t>N=100, за 4000 ч отказало 50, за 4000-4100 ч отказало 20</t>
        </is>
      </c>
      <c r="D8" s="8" t="inlineStr">
        <is>
          <t>f(4000)</t>
        </is>
      </c>
      <c r="E8" s="10" t="inlineStr">
        <is>
          <t>f = Δn/(N·Δt)</t>
        </is>
      </c>
      <c r="F8" s="11">
        <f>'Задачи 6-15'!E21</f>
        <v/>
      </c>
      <c r="G8" s="12" t="inlineStr">
        <is>
          <t>1/ч</t>
        </is>
      </c>
      <c r="H8" s="13" t="inlineStr">
        <is>
          <t>Перейти к решению</t>
        </is>
      </c>
      <c r="I8" s="14" t="inlineStr">
        <is>
          <t>Решено</t>
        </is>
      </c>
    </row>
    <row r="9" ht="21" customHeight="1">
      <c r="B9" s="15" t="inlineStr">
        <is>
          <t>Задача 6 (доп.)</t>
        </is>
      </c>
      <c r="C9" s="16" t="inlineStr">
        <is>
          <t>Та же задача, интенсивность отказов λ(4000)</t>
        </is>
      </c>
      <c r="D9" s="15" t="inlineStr">
        <is>
          <t>λ(4000)</t>
        </is>
      </c>
      <c r="E9" s="17" t="inlineStr">
        <is>
          <t>λ = Δn/(n(t)·Δt)</t>
        </is>
      </c>
      <c r="F9" s="11">
        <f>'Задачи 6-15'!E22</f>
        <v/>
      </c>
      <c r="G9" s="18" t="inlineStr">
        <is>
          <t>1/ч</t>
        </is>
      </c>
      <c r="H9" s="19" t="inlineStr">
        <is>
          <t>Перейти к решению</t>
        </is>
      </c>
      <c r="I9" s="20" t="inlineStr">
        <is>
          <t>Решено</t>
        </is>
      </c>
    </row>
    <row r="10" ht="21" customHeight="1">
      <c r="B10" s="8" t="inlineStr">
        <is>
          <t>Задача 7</t>
        </is>
      </c>
      <c r="C10" s="9" t="inlineStr">
        <is>
          <t>N=100, за 4000 ч отказало 50. Найти p(4000), q(4000)</t>
        </is>
      </c>
      <c r="D10" s="8" t="inlineStr">
        <is>
          <t>p(4000)</t>
        </is>
      </c>
      <c r="E10" s="10" t="inlineStr">
        <is>
          <t>p = n(t)/N</t>
        </is>
      </c>
      <c r="F10" s="21">
        <f>'Задачи 6-15'!E38</f>
        <v/>
      </c>
      <c r="G10" s="12" t="inlineStr">
        <is>
          <t>—</t>
        </is>
      </c>
      <c r="H10" s="13" t="inlineStr">
        <is>
          <t>Перейти к решению</t>
        </is>
      </c>
      <c r="I10" s="14" t="inlineStr">
        <is>
          <t>Решено</t>
        </is>
      </c>
    </row>
    <row r="11" ht="21" customHeight="1">
      <c r="B11" s="15" t="inlineStr">
        <is>
          <t>Задача 7 (доп.)</t>
        </is>
      </c>
      <c r="C11" s="16" t="inlineStr">
        <is>
          <t>Та же задача, вероятность отказа q(4000)</t>
        </is>
      </c>
      <c r="D11" s="15" t="inlineStr">
        <is>
          <t>q(4000)</t>
        </is>
      </c>
      <c r="E11" s="17" t="inlineStr">
        <is>
          <t>q = (N - n(t))/N = 1 - p</t>
        </is>
      </c>
      <c r="F11" s="21">
        <f>'Задачи 6-15'!E39</f>
        <v/>
      </c>
      <c r="G11" s="18" t="inlineStr">
        <is>
          <t>—</t>
        </is>
      </c>
      <c r="H11" s="19" t="inlineStr">
        <is>
          <t>Перейти к решению</t>
        </is>
      </c>
      <c r="I11" s="20" t="inlineStr">
        <is>
          <t>Решено</t>
        </is>
      </c>
    </row>
    <row r="12" ht="21" customHeight="1">
      <c r="B12" s="8" t="inlineStr">
        <is>
          <t>Задача 8</t>
        </is>
      </c>
      <c r="C12" s="9" t="inlineStr">
        <is>
          <t>N=10 гироскопов, за 1000 ч отказало 2, за 1000-1100 ч еще 1</t>
        </is>
      </c>
      <c r="D12" s="8" t="inlineStr">
        <is>
          <t>f(1000)</t>
        </is>
      </c>
      <c r="E12" s="10" t="inlineStr">
        <is>
          <t>f = Δn/(N·Δt)</t>
        </is>
      </c>
      <c r="F12" s="11">
        <f>'Задачи 6-15'!E58</f>
        <v/>
      </c>
      <c r="G12" s="12" t="inlineStr">
        <is>
          <t>1/ч</t>
        </is>
      </c>
      <c r="H12" s="13" t="inlineStr">
        <is>
          <t>Перейти к решению</t>
        </is>
      </c>
      <c r="I12" s="14" t="inlineStr">
        <is>
          <t>Решено</t>
        </is>
      </c>
    </row>
    <row r="13" ht="21" customHeight="1">
      <c r="B13" s="15" t="inlineStr">
        <is>
          <t>Задача 8 (доп.)</t>
        </is>
      </c>
      <c r="C13" s="16" t="inlineStr">
        <is>
          <t>Та же задача, интенсивность отказов λ(1000)</t>
        </is>
      </c>
      <c r="D13" s="15" t="inlineStr">
        <is>
          <t>λ(1000)</t>
        </is>
      </c>
      <c r="E13" s="17" t="inlineStr">
        <is>
          <t>λ = Δn/(n(t)·Δt)</t>
        </is>
      </c>
      <c r="F13" s="11">
        <f>'Задачи 6-15'!E59</f>
        <v/>
      </c>
      <c r="G13" s="18" t="inlineStr">
        <is>
          <t>1/ч</t>
        </is>
      </c>
      <c r="H13" s="19" t="inlineStr">
        <is>
          <t>Перейти к решению</t>
        </is>
      </c>
      <c r="I13" s="20" t="inlineStr">
        <is>
          <t>Решено</t>
        </is>
      </c>
    </row>
    <row r="14" ht="21" customHeight="1">
      <c r="B14" s="8" t="inlineStr">
        <is>
          <t>Задача 9</t>
        </is>
      </c>
      <c r="C14" s="9" t="inlineStr">
        <is>
          <t>N=1000 ламп, за 3000 ч отказало 80, за 3000-4000 ч еще 50</t>
        </is>
      </c>
      <c r="D14" s="8" t="inlineStr">
        <is>
          <t>p(4000)</t>
        </is>
      </c>
      <c r="E14" s="10" t="inlineStr">
        <is>
          <t>p = (N - Σn_отк)/N</t>
        </is>
      </c>
      <c r="F14" s="21">
        <f>'Задачи 6-15'!E77</f>
        <v/>
      </c>
      <c r="G14" s="12" t="inlineStr">
        <is>
          <t>—</t>
        </is>
      </c>
      <c r="H14" s="13" t="inlineStr">
        <is>
          <t>Перейти к решению</t>
        </is>
      </c>
      <c r="I14" s="14" t="inlineStr">
        <is>
          <t>Решено</t>
        </is>
      </c>
    </row>
    <row r="15" ht="21" customHeight="1">
      <c r="B15" s="15" t="inlineStr">
        <is>
          <t>Задача 9 (доп.)</t>
        </is>
      </c>
      <c r="C15" s="16" t="inlineStr">
        <is>
          <t>Та же задача, вероятность отказа q(4000)</t>
        </is>
      </c>
      <c r="D15" s="15" t="inlineStr">
        <is>
          <t>q(4000)</t>
        </is>
      </c>
      <c r="E15" s="17" t="inlineStr">
        <is>
          <t>q = Σn_отк/N = 1 - p</t>
        </is>
      </c>
      <c r="F15" s="21">
        <f>'Задачи 6-15'!E78</f>
        <v/>
      </c>
      <c r="G15" s="18" t="inlineStr">
        <is>
          <t>—</t>
        </is>
      </c>
      <c r="H15" s="19" t="inlineStr">
        <is>
          <t>Перейти к решению</t>
        </is>
      </c>
      <c r="I15" s="20" t="inlineStr">
        <is>
          <t>Решено</t>
        </is>
      </c>
    </row>
    <row r="16" ht="21" customHeight="1">
      <c r="B16" s="8" t="inlineStr">
        <is>
          <t>Задача 10</t>
        </is>
      </c>
      <c r="C16" s="9" t="inlineStr">
        <is>
          <t>N=1000, t=1300: отк. 288; за 1300-1400: отк. 13</t>
        </is>
      </c>
      <c r="D16" s="8" t="inlineStr">
        <is>
          <t>p(1300)</t>
        </is>
      </c>
      <c r="E16" s="10" t="inlineStr">
        <is>
          <t>p(1300) = n(1300)/N</t>
        </is>
      </c>
      <c r="F16" s="21">
        <f>'Задачи 6-15'!E98</f>
        <v/>
      </c>
      <c r="G16" s="12" t="inlineStr">
        <is>
          <t>—</t>
        </is>
      </c>
      <c r="H16" s="13" t="inlineStr">
        <is>
          <t>Перейти к решению</t>
        </is>
      </c>
      <c r="I16" s="14" t="inlineStr">
        <is>
          <t>Решено</t>
        </is>
      </c>
    </row>
    <row r="17" ht="21" customHeight="1">
      <c r="B17" s="15" t="inlineStr">
        <is>
          <t>Задача 10 (2)</t>
        </is>
      </c>
      <c r="C17" s="16" t="inlineStr">
        <is>
          <t>Та же задача, вероятность безотказной работы p(1400)</t>
        </is>
      </c>
      <c r="D17" s="15" t="inlineStr">
        <is>
          <t>p(1400)</t>
        </is>
      </c>
      <c r="E17" s="17" t="inlineStr">
        <is>
          <t>p(1400) = (n(1300)-Δn)/N</t>
        </is>
      </c>
      <c r="F17" s="21">
        <f>'Задачи 6-15'!E99</f>
        <v/>
      </c>
      <c r="G17" s="18" t="inlineStr">
        <is>
          <t>—</t>
        </is>
      </c>
      <c r="H17" s="19" t="inlineStr">
        <is>
          <t>Перейти к решению</t>
        </is>
      </c>
      <c r="I17" s="20" t="inlineStr">
        <is>
          <t>Решено</t>
        </is>
      </c>
    </row>
    <row r="18" ht="21" customHeight="1">
      <c r="B18" s="8" t="inlineStr">
        <is>
          <t>Задача 10 (3)</t>
        </is>
      </c>
      <c r="C18" s="9" t="inlineStr">
        <is>
          <t>Та же задача, частота отказов f(1300)</t>
        </is>
      </c>
      <c r="D18" s="8" t="inlineStr">
        <is>
          <t>f(1300)</t>
        </is>
      </c>
      <c r="E18" s="10" t="inlineStr">
        <is>
          <t>f = Δn/(N·Δt)</t>
        </is>
      </c>
      <c r="F18" s="22">
        <f>'Задачи 6-15'!E100</f>
        <v/>
      </c>
      <c r="G18" s="12" t="inlineStr">
        <is>
          <t>1/ч</t>
        </is>
      </c>
      <c r="H18" s="13" t="inlineStr">
        <is>
          <t>Перейти к решению</t>
        </is>
      </c>
      <c r="I18" s="14" t="inlineStr">
        <is>
          <t>Решено</t>
        </is>
      </c>
    </row>
    <row r="19" ht="21" customHeight="1">
      <c r="B19" s="15" t="inlineStr">
        <is>
          <t>Задача 10 (4)</t>
        </is>
      </c>
      <c r="C19" s="16" t="inlineStr">
        <is>
          <t>Та же задача, интенсивность отказов λ(1300)</t>
        </is>
      </c>
      <c r="D19" s="15" t="inlineStr">
        <is>
          <t>λ(1300)</t>
        </is>
      </c>
      <c r="E19" s="17" t="inlineStr">
        <is>
          <t>λ = Δn/(n(1300)·Δt)</t>
        </is>
      </c>
      <c r="F19" s="22">
        <f>'Задачи 6-15'!E101</f>
        <v/>
      </c>
      <c r="G19" s="18" t="inlineStr">
        <is>
          <t>1/ч</t>
        </is>
      </c>
      <c r="H19" s="19" t="inlineStr">
        <is>
          <t>Перейти к решению</t>
        </is>
      </c>
      <c r="I19" s="20" t="inlineStr">
        <is>
          <t>Решено</t>
        </is>
      </c>
    </row>
    <row r="20" ht="21" customHeight="1">
      <c r="B20" s="8" t="inlineStr">
        <is>
          <t>Задача 11</t>
        </is>
      </c>
      <c r="C20" s="9" t="inlineStr">
        <is>
          <t>N=45, t=60: отк. 35; за 60-65: отк. 3</t>
        </is>
      </c>
      <c r="D20" s="8" t="inlineStr">
        <is>
          <t>p(60)</t>
        </is>
      </c>
      <c r="E20" s="10" t="inlineStr">
        <is>
          <t>p(60) = n(60)/N</t>
        </is>
      </c>
      <c r="F20" s="21">
        <f>'Задачи 6-15'!E121</f>
        <v/>
      </c>
      <c r="G20" s="12" t="inlineStr">
        <is>
          <t>—</t>
        </is>
      </c>
      <c r="H20" s="13" t="inlineStr">
        <is>
          <t>Перейти к решению</t>
        </is>
      </c>
      <c r="I20" s="14" t="inlineStr">
        <is>
          <t>Решено</t>
        </is>
      </c>
    </row>
    <row r="21" ht="21" customHeight="1">
      <c r="B21" s="15" t="inlineStr">
        <is>
          <t>Задача 11 (2)</t>
        </is>
      </c>
      <c r="C21" s="16" t="inlineStr">
        <is>
          <t>Та же задача, вероятность безотказной работы p(65)</t>
        </is>
      </c>
      <c r="D21" s="15" t="inlineStr">
        <is>
          <t>p(65)</t>
        </is>
      </c>
      <c r="E21" s="17" t="inlineStr">
        <is>
          <t>p(65) = (n(60)-Δn)/N</t>
        </is>
      </c>
      <c r="F21" s="21">
        <f>'Задачи 6-15'!E122</f>
        <v/>
      </c>
      <c r="G21" s="18" t="inlineStr">
        <is>
          <t>—</t>
        </is>
      </c>
      <c r="H21" s="19" t="inlineStr">
        <is>
          <t>Перейти к решению</t>
        </is>
      </c>
      <c r="I21" s="20" t="inlineStr">
        <is>
          <t>Решено</t>
        </is>
      </c>
    </row>
    <row r="22" ht="21" customHeight="1">
      <c r="B22" s="8" t="inlineStr">
        <is>
          <t>Задача 11 (3)</t>
        </is>
      </c>
      <c r="C22" s="9" t="inlineStr">
        <is>
          <t>Та же задача, частота отказов f(60)</t>
        </is>
      </c>
      <c r="D22" s="8" t="inlineStr">
        <is>
          <t>f(60)</t>
        </is>
      </c>
      <c r="E22" s="10" t="inlineStr">
        <is>
          <t>f = Δn/(N·Δt)</t>
        </is>
      </c>
      <c r="F22" s="22">
        <f>'Задачи 6-15'!E123</f>
        <v/>
      </c>
      <c r="G22" s="12" t="inlineStr">
        <is>
          <t>1/ч</t>
        </is>
      </c>
      <c r="H22" s="13" t="inlineStr">
        <is>
          <t>Перейти к решению</t>
        </is>
      </c>
      <c r="I22" s="14" t="inlineStr">
        <is>
          <t>Решено</t>
        </is>
      </c>
    </row>
    <row r="23" ht="21" customHeight="1">
      <c r="B23" s="15" t="inlineStr">
        <is>
          <t>Задача 11 (4)</t>
        </is>
      </c>
      <c r="C23" s="16" t="inlineStr">
        <is>
          <t>Та же задача, интенсивность отказов λ(60)</t>
        </is>
      </c>
      <c r="D23" s="15" t="inlineStr">
        <is>
          <t>λ(60)</t>
        </is>
      </c>
      <c r="E23" s="17" t="inlineStr">
        <is>
          <t>λ = Δn/(n(60)·Δt)</t>
        </is>
      </c>
      <c r="F23" s="22">
        <f>'Задачи 6-15'!E124</f>
        <v/>
      </c>
      <c r="G23" s="18" t="inlineStr">
        <is>
          <t>1/ч</t>
        </is>
      </c>
      <c r="H23" s="19" t="inlineStr">
        <is>
          <t>Перейти к решению</t>
        </is>
      </c>
      <c r="I23" s="20" t="inlineStr">
        <is>
          <t>Решено</t>
        </is>
      </c>
    </row>
    <row r="24" ht="21" customHeight="1">
      <c r="B24" s="8" t="inlineStr">
        <is>
          <t>Задача 12</t>
        </is>
      </c>
      <c r="C24" s="9" t="inlineStr">
        <is>
          <t>N=45 образцов РЭО (после 80 ч приработки), интервальные данные</t>
        </is>
      </c>
      <c r="D24" s="8" t="inlineStr">
        <is>
          <t>mt* (ср. наработка)</t>
        </is>
      </c>
      <c r="E24" s="10" t="inlineStr">
        <is>
          <t>mt* = Σ(ni·tср.i) / N</t>
        </is>
      </c>
      <c r="F24" s="23">
        <f>'Задачи 6-15'!E146</f>
        <v/>
      </c>
      <c r="G24" s="12" t="inlineStr">
        <is>
          <t>ч</t>
        </is>
      </c>
      <c r="H24" s="13" t="inlineStr">
        <is>
          <t>Перейти к решению</t>
        </is>
      </c>
      <c r="I24" s="14" t="inlineStr">
        <is>
          <t>Решено</t>
        </is>
      </c>
    </row>
    <row r="25" ht="21" customHeight="1">
      <c r="B25" s="15" t="inlineStr">
        <is>
          <t>Задача 13</t>
        </is>
      </c>
      <c r="C25" s="16" t="inlineStr">
        <is>
          <t>N=8 изделий: ti = {560, 700, 800, 650, 580, 760, 920, 850}</t>
        </is>
      </c>
      <c r="D25" s="15" t="inlineStr">
        <is>
          <t>mt* (ср. наработка)</t>
        </is>
      </c>
      <c r="E25" s="17" t="inlineStr">
        <is>
          <t>mt* = Σti / N</t>
        </is>
      </c>
      <c r="F25" s="23">
        <f>'Задачи 6-15'!E169</f>
        <v/>
      </c>
      <c r="G25" s="18" t="inlineStr">
        <is>
          <t>ч</t>
        </is>
      </c>
      <c r="H25" s="19" t="inlineStr">
        <is>
          <t>Перейти к решению</t>
        </is>
      </c>
      <c r="I25" s="20" t="inlineStr">
        <is>
          <t>Решено</t>
        </is>
      </c>
    </row>
    <row r="26" ht="21" customHeight="1">
      <c r="B26" s="8" t="inlineStr">
        <is>
          <t>Задача 14</t>
        </is>
      </c>
      <c r="C26" s="9" t="inlineStr">
        <is>
          <t>N=6 отказов аппаратуры: ti = {15, 20, 10, 28, 22, 30} мин</t>
        </is>
      </c>
      <c r="D26" s="8" t="inlineStr">
        <is>
          <t>m_в (ср. время восст.)</t>
        </is>
      </c>
      <c r="E26" s="10" t="inlineStr">
        <is>
          <t>m_в = Σtв,i / N</t>
        </is>
      </c>
      <c r="F26" s="23">
        <f>'Задачи 6-15'!E192</f>
        <v/>
      </c>
      <c r="G26" s="12" t="inlineStr">
        <is>
          <t>мин</t>
        </is>
      </c>
      <c r="H26" s="13" t="inlineStr">
        <is>
          <t>Перейти к решению</t>
        </is>
      </c>
      <c r="I26" s="14" t="inlineStr">
        <is>
          <t>Решено</t>
        </is>
      </c>
    </row>
    <row r="27" ht="21" customHeight="1">
      <c r="B27" s="15" t="inlineStr">
        <is>
          <t>Задача 15</t>
        </is>
      </c>
      <c r="C27" s="16" t="inlineStr">
        <is>
          <t>N=1000, t=11000: отк. 410; за 11000-12000: отк. 40</t>
        </is>
      </c>
      <c r="D27" s="15" t="inlineStr">
        <is>
          <t>p(11000)</t>
        </is>
      </c>
      <c r="E27" s="17" t="inlineStr">
        <is>
          <t>p(11000) = n(11000)/N</t>
        </is>
      </c>
      <c r="F27" s="21">
        <f>'Задачи 6-15'!E213</f>
        <v/>
      </c>
      <c r="G27" s="18" t="inlineStr">
        <is>
          <t>—</t>
        </is>
      </c>
      <c r="H27" s="19" t="inlineStr">
        <is>
          <t>Перейти к решению</t>
        </is>
      </c>
      <c r="I27" s="20" t="inlineStr">
        <is>
          <t>Решено</t>
        </is>
      </c>
    </row>
    <row r="28" ht="21" customHeight="1">
      <c r="B28" s="8" t="inlineStr">
        <is>
          <t>Задача 15 (2)</t>
        </is>
      </c>
      <c r="C28" s="9" t="inlineStr">
        <is>
          <t>Та же задача, вероятность безотказной работы p(12000)</t>
        </is>
      </c>
      <c r="D28" s="8" t="inlineStr">
        <is>
          <t>p(12000)</t>
        </is>
      </c>
      <c r="E28" s="10" t="inlineStr">
        <is>
          <t>p(12000) = (n(11000)-Δn)/N</t>
        </is>
      </c>
      <c r="F28" s="21">
        <f>'Задачи 6-15'!E214</f>
        <v/>
      </c>
      <c r="G28" s="12" t="inlineStr">
        <is>
          <t>—</t>
        </is>
      </c>
      <c r="H28" s="13" t="inlineStr">
        <is>
          <t>Перейти к решению</t>
        </is>
      </c>
      <c r="I28" s="14" t="inlineStr">
        <is>
          <t>Решено</t>
        </is>
      </c>
    </row>
    <row r="29" ht="21" customHeight="1">
      <c r="B29" s="15" t="inlineStr">
        <is>
          <t>Задача 15 (3)</t>
        </is>
      </c>
      <c r="C29" s="16" t="inlineStr">
        <is>
          <t>Та же задача, частота отказов f(11000)</t>
        </is>
      </c>
      <c r="D29" s="15" t="inlineStr">
        <is>
          <t>f(11000)</t>
        </is>
      </c>
      <c r="E29" s="17" t="inlineStr">
        <is>
          <t>f = Δn/(N·Δt)</t>
        </is>
      </c>
      <c r="F29" s="22">
        <f>'Задачи 6-15'!E215</f>
        <v/>
      </c>
      <c r="G29" s="18" t="inlineStr">
        <is>
          <t>1/ч</t>
        </is>
      </c>
      <c r="H29" s="19" t="inlineStr">
        <is>
          <t>Перейти к решению</t>
        </is>
      </c>
      <c r="I29" s="20" t="inlineStr">
        <is>
          <t>Решено</t>
        </is>
      </c>
    </row>
    <row r="30" ht="21" customHeight="1">
      <c r="B30" s="8" t="inlineStr">
        <is>
          <t>Задача 15 (4)</t>
        </is>
      </c>
      <c r="C30" s="9" t="inlineStr">
        <is>
          <t>Та же задача, интенсивность отказов λ(11000)</t>
        </is>
      </c>
      <c r="D30" s="8" t="inlineStr">
        <is>
          <t>λ(11000)</t>
        </is>
      </c>
      <c r="E30" s="10" t="inlineStr">
        <is>
          <t>λ = Δn/(n(11000)·Δt)</t>
        </is>
      </c>
      <c r="F30" s="22">
        <f>'Задачи 6-15'!E216</f>
        <v/>
      </c>
      <c r="G30" s="12" t="inlineStr">
        <is>
          <t>1/ч</t>
        </is>
      </c>
      <c r="H30" s="13" t="inlineStr">
        <is>
          <t>Перейти к решению</t>
        </is>
      </c>
      <c r="I30" s="14" t="inlineStr">
        <is>
          <t>Решено</t>
        </is>
      </c>
    </row>
    <row r="33" ht="25" customHeight="1">
      <c r="B33" s="6" t="inlineStr">
        <is>
          <t>2. РЕЗУЛЬТАТЫ РЕШЕНИЯ ТИПОВЫХ ЗАДАЧ ИЗ ПРЕЗЕНТАЦИИ (№ 1 – 5)</t>
        </is>
      </c>
    </row>
    <row r="34" ht="26" customHeight="1">
      <c r="B34" s="7" t="inlineStr">
        <is>
          <t>№ задачи</t>
        </is>
      </c>
      <c r="C34" s="7" t="inlineStr">
        <is>
          <t>Тема / Объект расчета</t>
        </is>
      </c>
      <c r="D34" s="7" t="inlineStr">
        <is>
          <t>Ключевые исходные данные</t>
        </is>
      </c>
      <c r="E34" s="7" t="inlineStr">
        <is>
          <t>Искомый параметр</t>
        </is>
      </c>
      <c r="F34" s="7" t="inlineStr">
        <is>
          <t>Результат вычислений</t>
        </is>
      </c>
      <c r="G34" s="7" t="inlineStr">
        <is>
          <t>Ед. изм.</t>
        </is>
      </c>
      <c r="H34" s="7" t="inlineStr">
        <is>
          <t>Сверка со слайдом</t>
        </is>
      </c>
      <c r="I34" s="7" t="inlineStr">
        <is>
          <t>Ссылка</t>
        </is>
      </c>
    </row>
    <row r="35" ht="21" customHeight="1">
      <c r="B35" s="15" t="inlineStr">
        <is>
          <t>Задача 1</t>
        </is>
      </c>
      <c r="C35" s="16" t="inlineStr">
        <is>
          <t>Система из 3 блоков (экспоненц. закон)</t>
        </is>
      </c>
      <c r="D35" s="16" t="inlineStr">
        <is>
          <t>mt1=160, mt2=320, mt3=600 ч</t>
        </is>
      </c>
      <c r="E35" s="15" t="inlineStr">
        <is>
          <t>mtc (ср. время безотказной работы)</t>
        </is>
      </c>
      <c r="F35" s="23">
        <f>'Задачи 1-5'!E21</f>
        <v/>
      </c>
      <c r="G35" s="18" t="inlineStr">
        <is>
          <t>ч</t>
        </is>
      </c>
      <c r="H35" s="20" t="inlineStr">
        <is>
          <t>90.57 ч ≈ 91 ч (Совпадает)</t>
        </is>
      </c>
      <c r="I35" s="19" t="inlineStr">
        <is>
          <t>Смотреть</t>
        </is>
      </c>
    </row>
    <row r="36" ht="21" customHeight="1">
      <c r="B36" s="8" t="inlineStr">
        <is>
          <t>Задача 2</t>
        </is>
      </c>
      <c r="C36" s="9" t="inlineStr">
        <is>
          <t>Подшипники качения (N=1000)</t>
        </is>
      </c>
      <c r="D36" s="9" t="inlineStr">
        <is>
          <t>N=1000, t=3000 ч, отказов=80</t>
        </is>
      </c>
      <c r="E36" s="8" t="inlineStr">
        <is>
          <t>p(3000)</t>
        </is>
      </c>
      <c r="F36" s="23">
        <f>'Задачи 1-5'!E37</f>
        <v/>
      </c>
      <c r="G36" s="12" t="inlineStr">
        <is>
          <t>—</t>
        </is>
      </c>
      <c r="H36" s="14" t="inlineStr">
        <is>
          <t>p=0.92, q=0.08 (Совпадает)</t>
        </is>
      </c>
      <c r="I36" s="13" t="inlineStr">
        <is>
          <t>Смотреть</t>
        </is>
      </c>
    </row>
    <row r="37" ht="21" customHeight="1">
      <c r="B37" s="15" t="inlineStr">
        <is>
          <t>Задача 3</t>
        </is>
      </c>
      <c r="C37" s="16" t="inlineStr">
        <is>
          <t>Изделия (N=500)</t>
        </is>
      </c>
      <c r="D37" s="16" t="inlineStr">
        <is>
          <t>N=500, t=3000 ч, отк.=300; Δt=100, Δn=100</t>
        </is>
      </c>
      <c r="E37" s="15" t="inlineStr">
        <is>
          <t>p(3000)</t>
        </is>
      </c>
      <c r="F37" s="23">
        <f>'Задачи 1-5'!E57</f>
        <v/>
      </c>
      <c r="G37" s="18" t="inlineStr">
        <is>
          <t>—</t>
        </is>
      </c>
      <c r="H37" s="20" t="inlineStr">
        <is>
          <t>p=0.4; 0.2; f=0.002; λ=0.005 (Совпадает)</t>
        </is>
      </c>
      <c r="I37" s="19" t="inlineStr">
        <is>
          <t>Смотреть</t>
        </is>
      </c>
    </row>
    <row r="38" ht="21" customHeight="1">
      <c r="B38" s="8" t="inlineStr">
        <is>
          <t>Задача 4</t>
        </is>
      </c>
      <c r="C38" s="9" t="inlineStr">
        <is>
          <t>Индивидуальные наработки 6 изделий</t>
        </is>
      </c>
      <c r="D38" s="9" t="inlineStr">
        <is>
          <t>ti = {280, 350, 400, 320, 380, 330} ч</t>
        </is>
      </c>
      <c r="E38" s="8" t="inlineStr">
        <is>
          <t>mt* (выборочное среднее)</t>
        </is>
      </c>
      <c r="F38" s="23">
        <f>'Задачи 1-5'!E81</f>
        <v/>
      </c>
      <c r="G38" s="12" t="inlineStr">
        <is>
          <t>ч</t>
        </is>
      </c>
      <c r="H38" s="14" t="inlineStr">
        <is>
          <t>343.33 ч (Совпадает)</t>
        </is>
      </c>
      <c r="I38" s="13" t="inlineStr">
        <is>
          <t>Смотреть</t>
        </is>
      </c>
    </row>
    <row r="39" ht="21" customHeight="1">
      <c r="B39" s="15" t="inlineStr">
        <is>
          <t>Задача 5</t>
        </is>
      </c>
      <c r="C39" s="16" t="inlineStr">
        <is>
          <t>Группированные данные 45 образцов РЭО</t>
        </is>
      </c>
      <c r="D39" s="16" t="inlineStr">
        <is>
          <t>16 интервалов по 5 ч, N=45</t>
        </is>
      </c>
      <c r="E39" s="15" t="inlineStr">
        <is>
          <t>mt* (по интервальному ряду)</t>
        </is>
      </c>
      <c r="F39" s="23">
        <f>'Задачи 1-5'!E112</f>
        <v/>
      </c>
      <c r="G39" s="18" t="inlineStr">
        <is>
          <t>ч</t>
        </is>
      </c>
      <c r="H39" s="20" t="inlineStr">
        <is>
          <t>31.72 ч ≈ 31.7 ч (Совпадает)</t>
        </is>
      </c>
      <c r="I39" s="19" t="inlineStr">
        <is>
          <t>Смотреть</t>
        </is>
      </c>
    </row>
  </sheetData>
  <mergeCells count="3">
    <mergeCell ref="B3:H3"/>
    <mergeCell ref="B2:H2"/>
    <mergeCell ref="B4:H4"/>
  </mergeCells>
  <hyperlinks>
    <hyperlink xmlns:r="http://schemas.openxmlformats.org/officeDocument/2006/relationships" ref="H8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2" r:id="rId5"/>
    <hyperlink xmlns:r="http://schemas.openxmlformats.org/officeDocument/2006/relationships" ref="H13" r:id="rId6"/>
    <hyperlink xmlns:r="http://schemas.openxmlformats.org/officeDocument/2006/relationships" ref="H14" r:id="rId7"/>
    <hyperlink xmlns:r="http://schemas.openxmlformats.org/officeDocument/2006/relationships" ref="H15" r:id="rId8"/>
    <hyperlink xmlns:r="http://schemas.openxmlformats.org/officeDocument/2006/relationships" ref="H16" r:id="rId9"/>
    <hyperlink xmlns:r="http://schemas.openxmlformats.org/officeDocument/2006/relationships" ref="H17" r:id="rId10"/>
    <hyperlink xmlns:r="http://schemas.openxmlformats.org/officeDocument/2006/relationships" ref="H18" r:id="rId11"/>
    <hyperlink xmlns:r="http://schemas.openxmlformats.org/officeDocument/2006/relationships" ref="H19" r:id="rId12"/>
    <hyperlink xmlns:r="http://schemas.openxmlformats.org/officeDocument/2006/relationships" ref="H20" r:id="rId13"/>
    <hyperlink xmlns:r="http://schemas.openxmlformats.org/officeDocument/2006/relationships" ref="H21" r:id="rId14"/>
    <hyperlink xmlns:r="http://schemas.openxmlformats.org/officeDocument/2006/relationships" ref="H22" r:id="rId15"/>
    <hyperlink xmlns:r="http://schemas.openxmlformats.org/officeDocument/2006/relationships" ref="H23" r:id="rId16"/>
    <hyperlink xmlns:r="http://schemas.openxmlformats.org/officeDocument/2006/relationships" ref="H24" r:id="rId17"/>
    <hyperlink xmlns:r="http://schemas.openxmlformats.org/officeDocument/2006/relationships" ref="H25" r:id="rId18"/>
    <hyperlink xmlns:r="http://schemas.openxmlformats.org/officeDocument/2006/relationships" ref="H26" r:id="rId19"/>
    <hyperlink xmlns:r="http://schemas.openxmlformats.org/officeDocument/2006/relationships" ref="H27" r:id="rId20"/>
    <hyperlink xmlns:r="http://schemas.openxmlformats.org/officeDocument/2006/relationships" ref="H28" r:id="rId21"/>
    <hyperlink xmlns:r="http://schemas.openxmlformats.org/officeDocument/2006/relationships" ref="H29" r:id="rId22"/>
    <hyperlink xmlns:r="http://schemas.openxmlformats.org/officeDocument/2006/relationships" ref="H30" r:id="rId23"/>
    <hyperlink xmlns:r="http://schemas.openxmlformats.org/officeDocument/2006/relationships" ref="I35" r:id="rId24"/>
    <hyperlink xmlns:r="http://schemas.openxmlformats.org/officeDocument/2006/relationships" ref="I36" r:id="rId25"/>
    <hyperlink xmlns:r="http://schemas.openxmlformats.org/officeDocument/2006/relationships" ref="I37" r:id="rId26"/>
    <hyperlink xmlns:r="http://schemas.openxmlformats.org/officeDocument/2006/relationships" ref="I38" r:id="rId27"/>
    <hyperlink xmlns:r="http://schemas.openxmlformats.org/officeDocument/2006/relationships" ref="I3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17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40" customWidth="1" min="2" max="2"/>
    <col width="18" customWidth="1" min="3" max="3"/>
    <col width="34" customWidth="1" min="4" max="4"/>
    <col width="24" customWidth="1" min="5" max="5"/>
    <col width="12" customWidth="1" min="6" max="6"/>
    <col width="46" customWidth="1" min="7" max="7"/>
  </cols>
  <sheetData>
    <row r="2" ht="30" customHeight="1">
      <c r="B2" s="1" t="inlineStr">
        <is>
          <t>ЗАДАЧИ ДЛЯ САМОСТОЯТЕЛЬНОГО РЕШЕНИЯ (№ 6 – 15)</t>
        </is>
      </c>
      <c r="C2" s="2" t="n"/>
      <c r="D2" s="2" t="n"/>
      <c r="E2" s="2" t="n"/>
      <c r="F2" s="2" t="n"/>
      <c r="G2" s="2" t="n"/>
    </row>
    <row r="3" ht="24" customHeight="1">
      <c r="B3" s="3" t="inlineStr">
        <is>
          <t>Практическая работа № 1. Определение количественных характеристик надежности по статистическим данным об отказах</t>
        </is>
      </c>
      <c r="C3" s="4" t="n"/>
      <c r="D3" s="4" t="n"/>
      <c r="E3" s="4" t="n"/>
      <c r="F3" s="4" t="n"/>
      <c r="G3" s="4" t="n"/>
    </row>
    <row r="4" ht="20" customHeight="1">
      <c r="B4" s="5" t="inlineStr">
        <is>
          <t>Все расчеты выполнены формулами Excel со ссылками на ячейки исходных данных</t>
        </is>
      </c>
      <c r="C4" s="4" t="n"/>
      <c r="D4" s="4" t="n"/>
      <c r="E4" s="4" t="n"/>
      <c r="F4" s="4" t="n"/>
      <c r="G4" s="4" t="n"/>
    </row>
    <row r="6" ht="24" customHeight="1">
      <c r="B6" s="24" t="inlineStr">
        <is>
          <t>ЗАДАЧА № 6. Расчет частоты отказов f(t) и интенсивности отказов λ(t) при t = 4000 ч</t>
        </is>
      </c>
      <c r="C6" s="2" t="n"/>
      <c r="D6" s="2" t="n"/>
      <c r="E6" s="2" t="n"/>
      <c r="F6" s="2" t="n"/>
      <c r="G6" s="2" t="n"/>
    </row>
    <row r="7" ht="18" customHeight="1">
      <c r="B7" s="25" t="inlineStr">
        <is>
          <t>Условие: На испытание поставлено 100 однотипных изделий. За 4000 часов отказало 50 изделий. За интервал времени 4000 – 4100 часов отказало еще 20 изделий. Требуется определить f(t), λ(t) при t = 4000 ч.</t>
        </is>
      </c>
      <c r="C7" s="26" t="n"/>
      <c r="D7" s="26" t="n"/>
      <c r="E7" s="26" t="n"/>
      <c r="F7" s="26" t="n"/>
      <c r="G7" s="26" t="n"/>
    </row>
    <row r="8" ht="18" customHeight="1">
      <c r="B8" s="26" t="n"/>
      <c r="C8" s="26" t="n"/>
      <c r="D8" s="26" t="n"/>
      <c r="E8" s="26" t="n"/>
      <c r="F8" s="26" t="n"/>
      <c r="G8" s="26" t="n"/>
    </row>
    <row r="9" ht="20" customHeight="1">
      <c r="B9" s="27" t="inlineStr">
        <is>
          <t>Таблица 1. Исходные данные задачи</t>
        </is>
      </c>
    </row>
    <row r="10" ht="22" customHeight="1">
      <c r="B10" s="28" t="inlineStr">
        <is>
          <t>Наименование параметра</t>
        </is>
      </c>
      <c r="C10" s="28" t="inlineStr">
        <is>
          <t>Обозначение</t>
        </is>
      </c>
      <c r="D10" s="28" t="inlineStr">
        <is>
          <t>Значение</t>
        </is>
      </c>
      <c r="E10" s="28" t="inlineStr">
        <is>
          <t>Ед. изм.</t>
        </is>
      </c>
      <c r="F10" s="28" t="inlineStr">
        <is>
          <t>Пояснение</t>
        </is>
      </c>
    </row>
    <row r="11" ht="20" customHeight="1">
      <c r="B11" s="29" t="inlineStr">
        <is>
          <t>Общее число изделий на испытании</t>
        </is>
      </c>
      <c r="C11" s="30" t="inlineStr">
        <is>
          <t>N</t>
        </is>
      </c>
      <c r="D11" s="31" t="n">
        <v>100</v>
      </c>
      <c r="E11" s="32" t="inlineStr">
        <is>
          <t>шт.</t>
        </is>
      </c>
      <c r="F11" s="33" t="inlineStr">
        <is>
          <t>Количество испытываемых изделий</t>
        </is>
      </c>
    </row>
    <row r="12" ht="20" customHeight="1">
      <c r="B12" s="29" t="inlineStr">
        <is>
          <t>Время наработки к началу интервала</t>
        </is>
      </c>
      <c r="C12" s="30" t="inlineStr">
        <is>
          <t>t</t>
        </is>
      </c>
      <c r="D12" s="31" t="n">
        <v>4000</v>
      </c>
      <c r="E12" s="32" t="inlineStr">
        <is>
          <t>ч</t>
        </is>
      </c>
      <c r="F12" s="33" t="inlineStr">
        <is>
          <t>Момент времени t = 4000 ч</t>
        </is>
      </c>
    </row>
    <row r="13" ht="20" customHeight="1">
      <c r="B13" s="29" t="inlineStr">
        <is>
          <t>Число отказавших изделий к моменту t</t>
        </is>
      </c>
      <c r="C13" s="30" t="inlineStr">
        <is>
          <t>n_отк</t>
        </is>
      </c>
      <c r="D13" s="31" t="n">
        <v>50</v>
      </c>
      <c r="E13" s="32" t="inlineStr">
        <is>
          <t>шт.</t>
        </is>
      </c>
      <c r="F13" s="33" t="inlineStr">
        <is>
          <t>Число отказов за первые 4000 ч</t>
        </is>
      </c>
    </row>
    <row r="14" ht="20" customHeight="1">
      <c r="B14" s="29" t="inlineStr">
        <is>
          <t>Время наработки к концу интервала</t>
        </is>
      </c>
      <c r="C14" s="30" t="inlineStr">
        <is>
          <t>t_след</t>
        </is>
      </c>
      <c r="D14" s="31" t="n">
        <v>4100</v>
      </c>
      <c r="E14" s="32" t="inlineStr">
        <is>
          <t>ч</t>
        </is>
      </c>
      <c r="F14" s="33" t="inlineStr">
        <is>
          <t>Конец интервала t + Δt</t>
        </is>
      </c>
    </row>
    <row r="15" ht="20" customHeight="1">
      <c r="B15" s="29" t="inlineStr">
        <is>
          <t>Длина интервала времени</t>
        </is>
      </c>
      <c r="C15" s="30" t="inlineStr">
        <is>
          <t>dt</t>
        </is>
      </c>
      <c r="D15" s="34">
        <f>D14-D12</f>
        <v/>
      </c>
      <c r="E15" s="32" t="inlineStr">
        <is>
          <t>ч</t>
        </is>
      </c>
      <c r="F15" s="33" t="inlineStr">
        <is>
          <t>Интервал Δt = 4100 - 4000 = 100 ч</t>
        </is>
      </c>
    </row>
    <row r="16" ht="20" customHeight="1">
      <c r="B16" s="29" t="inlineStr">
        <is>
          <t>Число отказов в интервале (t, t+Δt)</t>
        </is>
      </c>
      <c r="C16" s="30" t="inlineStr">
        <is>
          <t>dn</t>
        </is>
      </c>
      <c r="D16" s="31" t="n">
        <v>20</v>
      </c>
      <c r="E16" s="32" t="inlineStr">
        <is>
          <t>шт.</t>
        </is>
      </c>
      <c r="F16" s="33" t="inlineStr">
        <is>
          <t>Отказы за интервал 4000-4100 ч</t>
        </is>
      </c>
    </row>
    <row r="18" ht="20" customHeight="1">
      <c r="B18" s="27" t="inlineStr">
        <is>
          <t>Таблица 2. Расчет показателей надежности</t>
        </is>
      </c>
    </row>
    <row r="19" ht="24" customHeight="1">
      <c r="B19" s="35" t="inlineStr">
        <is>
          <t>Определяемый показатель</t>
        </is>
      </c>
      <c r="C19" s="35" t="inlineStr">
        <is>
          <t>Обозначение</t>
        </is>
      </c>
      <c r="D19" s="35" t="inlineStr">
        <is>
          <t>Математическая формула</t>
        </is>
      </c>
      <c r="E19" s="35" t="inlineStr">
        <is>
          <t>Значение (формула Excel)</t>
        </is>
      </c>
      <c r="F19" s="35" t="inlineStr">
        <is>
          <t>Ед. изм.</t>
        </is>
      </c>
      <c r="G19" s="35" t="inlineStr">
        <is>
          <t>Пояснение к результату</t>
        </is>
      </c>
    </row>
    <row r="20" ht="22" customHeight="1">
      <c r="B20" s="29" t="inlineStr">
        <is>
          <t>Число работоспособных к моменту t</t>
        </is>
      </c>
      <c r="C20" s="30" t="inlineStr">
        <is>
          <t>nt</t>
        </is>
      </c>
      <c r="D20" s="36" t="inlineStr">
        <is>
          <t>N - n_отк(t)</t>
        </is>
      </c>
      <c r="E20" s="37">
        <f>D11-D13</f>
        <v/>
      </c>
      <c r="F20" s="32" t="inlineStr">
        <is>
          <t>шт.</t>
        </is>
      </c>
      <c r="G20" s="33" t="inlineStr">
        <is>
          <t>n(4000) = 100 - 50 = 50 изделий</t>
        </is>
      </c>
    </row>
    <row r="21" ht="22" customHeight="1">
      <c r="B21" s="29" t="inlineStr">
        <is>
          <t>Частота отказов</t>
        </is>
      </c>
      <c r="C21" s="30" t="inlineStr">
        <is>
          <t>f_4000</t>
        </is>
      </c>
      <c r="D21" s="36" t="inlineStr">
        <is>
          <t>Δn(t) / (N · Δt)</t>
        </is>
      </c>
      <c r="E21" s="11">
        <f>D16/(D11*D15)</f>
        <v/>
      </c>
      <c r="F21" s="32" t="inlineStr">
        <is>
          <t>1/ч</t>
        </is>
      </c>
      <c r="G21" s="33" t="inlineStr">
        <is>
          <t>f(4000) = 20 / (100 · 100) = 0.002 ч⁻¹</t>
        </is>
      </c>
    </row>
    <row r="22" ht="22" customHeight="1">
      <c r="B22" s="29" t="inlineStr">
        <is>
          <t>Интенсивность отказов</t>
        </is>
      </c>
      <c r="C22" s="30" t="inlineStr">
        <is>
          <t>l_4000</t>
        </is>
      </c>
      <c r="D22" s="36" t="inlineStr">
        <is>
          <t>Δn(t) / (n(t) · Δt)</t>
        </is>
      </c>
      <c r="E22" s="11">
        <f>D16/(E20*D15)</f>
        <v/>
      </c>
      <c r="F22" s="32" t="inlineStr">
        <is>
          <t>1/ч</t>
        </is>
      </c>
      <c r="G22" s="33" t="inlineStr">
        <is>
          <t>λ(4000) = 20 / (50 · 100) = 0.004 ч⁻¹</t>
        </is>
      </c>
    </row>
    <row r="23" ht="24" customHeight="1">
      <c r="B23" s="38" t="inlineStr">
        <is>
          <t>ВЫВОД / ОТВЕТ: При t = 4000 ч частота отказов f(4000) = 0,002 1/ч (2,0·10⁻³ ч⁻¹), интенсивность отказов λ(4000) = 0,004 1/ч (4,0·10⁻³ ч⁻¹).</t>
        </is>
      </c>
      <c r="C23" s="39" t="n"/>
      <c r="D23" s="39" t="n"/>
      <c r="E23" s="39" t="n"/>
      <c r="F23" s="39" t="n"/>
      <c r="G23" s="39" t="n"/>
    </row>
    <row r="26" ht="24" customHeight="1">
      <c r="B26" s="24" t="inlineStr">
        <is>
          <t>ЗАДАЧА № 7. Расчет вероятности безотказной работы p(t) и вероятности отказа q(t)</t>
        </is>
      </c>
      <c r="C26" s="2" t="n"/>
      <c r="D26" s="2" t="n"/>
      <c r="E26" s="2" t="n"/>
      <c r="F26" s="2" t="n"/>
      <c r="G26" s="2" t="n"/>
    </row>
    <row r="27" ht="18" customHeight="1">
      <c r="B27" s="25" t="inlineStr">
        <is>
          <t>Условие: На испытание поставлено 100 однотипных изделий. За 4000 часов отказало 50 изделий. Требуется определить p(t) и q(t) при t = 4000 ч.</t>
        </is>
      </c>
      <c r="C27" s="26" t="n"/>
      <c r="D27" s="26" t="n"/>
      <c r="E27" s="26" t="n"/>
      <c r="F27" s="26" t="n"/>
      <c r="G27" s="26" t="n"/>
    </row>
    <row r="28" ht="18" customHeight="1">
      <c r="B28" s="26" t="n"/>
      <c r="C28" s="26" t="n"/>
      <c r="D28" s="26" t="n"/>
      <c r="E28" s="26" t="n"/>
      <c r="F28" s="26" t="n"/>
      <c r="G28" s="26" t="n"/>
    </row>
    <row r="29" ht="20" customHeight="1">
      <c r="B29" s="27" t="inlineStr">
        <is>
          <t>Таблица 1. Исходные данные задачи</t>
        </is>
      </c>
    </row>
    <row r="30" ht="22" customHeight="1">
      <c r="B30" s="28" t="inlineStr">
        <is>
          <t>Наименование параметра</t>
        </is>
      </c>
      <c r="C30" s="28" t="inlineStr">
        <is>
          <t>Обозначение</t>
        </is>
      </c>
      <c r="D30" s="28" t="inlineStr">
        <is>
          <t>Значение</t>
        </is>
      </c>
      <c r="E30" s="28" t="inlineStr">
        <is>
          <t>Ед. изм.</t>
        </is>
      </c>
      <c r="F30" s="28" t="inlineStr">
        <is>
          <t>Пояснение</t>
        </is>
      </c>
    </row>
    <row r="31" ht="20" customHeight="1">
      <c r="B31" s="29" t="inlineStr">
        <is>
          <t>Общее число изделий на испытании</t>
        </is>
      </c>
      <c r="C31" s="30" t="inlineStr">
        <is>
          <t>N</t>
        </is>
      </c>
      <c r="D31" s="31" t="n">
        <v>100</v>
      </c>
      <c r="E31" s="32" t="inlineStr">
        <is>
          <t>шт.</t>
        </is>
      </c>
      <c r="F31" s="33" t="inlineStr">
        <is>
          <t>Число изделий, поставленных на испытания</t>
        </is>
      </c>
    </row>
    <row r="32" ht="20" customHeight="1">
      <c r="B32" s="29" t="inlineStr">
        <is>
          <t>Время наработки</t>
        </is>
      </c>
      <c r="C32" s="30" t="inlineStr">
        <is>
          <t>t</t>
        </is>
      </c>
      <c r="D32" s="31" t="n">
        <v>4000</v>
      </c>
      <c r="E32" s="32" t="inlineStr">
        <is>
          <t>ч</t>
        </is>
      </c>
      <c r="F32" s="33" t="inlineStr">
        <is>
          <t>Момент времени t = 4000 ч</t>
        </is>
      </c>
    </row>
    <row r="33" ht="20" customHeight="1">
      <c r="B33" s="29" t="inlineStr">
        <is>
          <t>Число отказавших изделий к моменту t</t>
        </is>
      </c>
      <c r="C33" s="30" t="inlineStr">
        <is>
          <t>n_отк</t>
        </is>
      </c>
      <c r="D33" s="31" t="n">
        <v>50</v>
      </c>
      <c r="E33" s="32" t="inlineStr">
        <is>
          <t>шт.</t>
        </is>
      </c>
      <c r="F33" s="33" t="inlineStr">
        <is>
          <t>Число изделий, отказавших за 4000 ч</t>
        </is>
      </c>
    </row>
    <row r="35" ht="20" customHeight="1">
      <c r="B35" s="27" t="inlineStr">
        <is>
          <t>Таблица 2. Расчет показателей надежности</t>
        </is>
      </c>
    </row>
    <row r="36" ht="24" customHeight="1">
      <c r="B36" s="35" t="inlineStr">
        <is>
          <t>Определяемый показатель</t>
        </is>
      </c>
      <c r="C36" s="35" t="inlineStr">
        <is>
          <t>Обозначение</t>
        </is>
      </c>
      <c r="D36" s="35" t="inlineStr">
        <is>
          <t>Математическая формула</t>
        </is>
      </c>
      <c r="E36" s="35" t="inlineStr">
        <is>
          <t>Значение (формула Excel)</t>
        </is>
      </c>
      <c r="F36" s="35" t="inlineStr">
        <is>
          <t>Ед. изм.</t>
        </is>
      </c>
      <c r="G36" s="35" t="inlineStr">
        <is>
          <t>Пояснение к результату</t>
        </is>
      </c>
    </row>
    <row r="37" ht="22" customHeight="1">
      <c r="B37" s="29" t="inlineStr">
        <is>
          <t>Число не отказавших изделий</t>
        </is>
      </c>
      <c r="C37" s="30" t="inlineStr">
        <is>
          <t>nt</t>
        </is>
      </c>
      <c r="D37" s="36" t="inlineStr">
        <is>
          <t>N - n_отк(t)</t>
        </is>
      </c>
      <c r="E37" s="37">
        <f>D31-D33</f>
        <v/>
      </c>
      <c r="F37" s="32" t="inlineStr">
        <is>
          <t>шт.</t>
        </is>
      </c>
      <c r="G37" s="33" t="inlineStr">
        <is>
          <t>n(4000) = 100 - 50 = 50 изделий</t>
        </is>
      </c>
    </row>
    <row r="38" ht="22" customHeight="1">
      <c r="B38" s="29" t="inlineStr">
        <is>
          <t>Вероятность безотказной работы</t>
        </is>
      </c>
      <c r="C38" s="30" t="inlineStr">
        <is>
          <t>p_4000</t>
        </is>
      </c>
      <c r="D38" s="36" t="inlineStr">
        <is>
          <t>n(t) / N</t>
        </is>
      </c>
      <c r="E38" s="21">
        <f>E37/D31</f>
        <v/>
      </c>
      <c r="F38" s="32" t="inlineStr">
        <is>
          <t>—</t>
        </is>
      </c>
      <c r="G38" s="33" t="inlineStr">
        <is>
          <t>p(4000) = 50 / 100 = 0.50 (50%)</t>
        </is>
      </c>
    </row>
    <row r="39" ht="22" customHeight="1">
      <c r="B39" s="29" t="inlineStr">
        <is>
          <t>Вероятность отказа изделия</t>
        </is>
      </c>
      <c r="C39" s="30" t="inlineStr">
        <is>
          <t>q_4000</t>
        </is>
      </c>
      <c r="D39" s="36" t="inlineStr">
        <is>
          <t>(N - n(t)) / N = 1 - p(t)</t>
        </is>
      </c>
      <c r="E39" s="21">
        <f>1-E38</f>
        <v/>
      </c>
      <c r="F39" s="32" t="inlineStr">
        <is>
          <t>—</t>
        </is>
      </c>
      <c r="G39" s="33" t="inlineStr">
        <is>
          <t>q(4000) = 50 / 100 = 0.50 (50%)</t>
        </is>
      </c>
    </row>
    <row r="40" ht="24" customHeight="1">
      <c r="B40" s="38" t="inlineStr">
        <is>
          <t>ВЫВОД / ОТВЕТ: При наработке t = 4000 ч вероятность безотказной работы p(4000) = 0,50 (50%), вероятность отказа q(4000) = 0,50 (50%).</t>
        </is>
      </c>
      <c r="C40" s="39" t="n"/>
      <c r="D40" s="39" t="n"/>
      <c r="E40" s="39" t="n"/>
      <c r="F40" s="39" t="n"/>
      <c r="G40" s="39" t="n"/>
    </row>
    <row r="43" ht="24" customHeight="1">
      <c r="B43" s="24" t="inlineStr">
        <is>
          <t>ЗАДАЧА № 8. Расчет показателей надежности гироскопов: f(t) и λ(t) при t = 1000 ч</t>
        </is>
      </c>
      <c r="C43" s="2" t="n"/>
      <c r="D43" s="2" t="n"/>
      <c r="E43" s="2" t="n"/>
      <c r="F43" s="2" t="n"/>
      <c r="G43" s="2" t="n"/>
    </row>
    <row r="44" ht="18" customHeight="1">
      <c r="B44" s="25" t="inlineStr">
        <is>
          <t>Условие: В течение 1000 часов из 10 гироскопов отказало 2. За интервал времени 1000 – 1100 часов отказал еще один гироскоп. Требуется определить f(t), λ(t) при t = 1000 ч.</t>
        </is>
      </c>
      <c r="C44" s="26" t="n"/>
      <c r="D44" s="26" t="n"/>
      <c r="E44" s="26" t="n"/>
      <c r="F44" s="26" t="n"/>
      <c r="G44" s="26" t="n"/>
    </row>
    <row r="45" ht="18" customHeight="1">
      <c r="B45" s="26" t="n"/>
      <c r="C45" s="26" t="n"/>
      <c r="D45" s="26" t="n"/>
      <c r="E45" s="26" t="n"/>
      <c r="F45" s="26" t="n"/>
      <c r="G45" s="26" t="n"/>
    </row>
    <row r="46" ht="20" customHeight="1">
      <c r="B46" s="27" t="inlineStr">
        <is>
          <t>Таблица 1. Исходные данные задачи</t>
        </is>
      </c>
    </row>
    <row r="47" ht="22" customHeight="1">
      <c r="B47" s="28" t="inlineStr">
        <is>
          <t>Наименование параметра</t>
        </is>
      </c>
      <c r="C47" s="28" t="inlineStr">
        <is>
          <t>Обозначение</t>
        </is>
      </c>
      <c r="D47" s="28" t="inlineStr">
        <is>
          <t>Значение</t>
        </is>
      </c>
      <c r="E47" s="28" t="inlineStr">
        <is>
          <t>Ед. изм.</t>
        </is>
      </c>
      <c r="F47" s="28" t="inlineStr">
        <is>
          <t>Пояснение</t>
        </is>
      </c>
    </row>
    <row r="48" ht="20" customHeight="1">
      <c r="B48" s="29" t="inlineStr">
        <is>
          <t>Общее число гироскопов</t>
        </is>
      </c>
      <c r="C48" s="30" t="inlineStr">
        <is>
          <t>N</t>
        </is>
      </c>
      <c r="D48" s="31" t="n">
        <v>10</v>
      </c>
      <c r="E48" s="32" t="inlineStr">
        <is>
          <t>шт.</t>
        </is>
      </c>
      <c r="F48" s="33" t="inlineStr">
        <is>
          <t>Число гироскопов на испытании</t>
        </is>
      </c>
    </row>
    <row r="49" ht="20" customHeight="1">
      <c r="B49" s="29" t="inlineStr">
        <is>
          <t>Время наработки</t>
        </is>
      </c>
      <c r="C49" s="30" t="inlineStr">
        <is>
          <t>t</t>
        </is>
      </c>
      <c r="D49" s="31" t="n">
        <v>1000</v>
      </c>
      <c r="E49" s="32" t="inlineStr">
        <is>
          <t>ч</t>
        </is>
      </c>
      <c r="F49" s="33" t="inlineStr">
        <is>
          <t>Момент времени t = 1000 ч</t>
        </is>
      </c>
    </row>
    <row r="50" ht="20" customHeight="1">
      <c r="B50" s="29" t="inlineStr">
        <is>
          <t>Число отказавших к моменту t</t>
        </is>
      </c>
      <c r="C50" s="30" t="inlineStr">
        <is>
          <t>n_отк</t>
        </is>
      </c>
      <c r="D50" s="31" t="n">
        <v>2</v>
      </c>
      <c r="E50" s="32" t="inlineStr">
        <is>
          <t>шт.</t>
        </is>
      </c>
      <c r="F50" s="33" t="inlineStr">
        <is>
          <t>Отказы за первые 1000 ч</t>
        </is>
      </c>
    </row>
    <row r="51" ht="20" customHeight="1">
      <c r="B51" s="29" t="inlineStr">
        <is>
          <t>Время наработки к концу интервала</t>
        </is>
      </c>
      <c r="C51" s="30" t="inlineStr">
        <is>
          <t>t_след</t>
        </is>
      </c>
      <c r="D51" s="31" t="n">
        <v>1100</v>
      </c>
      <c r="E51" s="32" t="inlineStr">
        <is>
          <t>ч</t>
        </is>
      </c>
      <c r="F51" s="33" t="inlineStr">
        <is>
          <t>Конец интервала</t>
        </is>
      </c>
    </row>
    <row r="52" ht="20" customHeight="1">
      <c r="B52" s="29" t="inlineStr">
        <is>
          <t>Интервал времени</t>
        </is>
      </c>
      <c r="C52" s="30" t="inlineStr">
        <is>
          <t>dt</t>
        </is>
      </c>
      <c r="D52" s="34">
        <f>D51-D49</f>
        <v/>
      </c>
      <c r="E52" s="32" t="inlineStr">
        <is>
          <t>ч</t>
        </is>
      </c>
      <c r="F52" s="33" t="inlineStr">
        <is>
          <t>Δt = 1100 - 1000 = 100 ч</t>
        </is>
      </c>
    </row>
    <row r="53" ht="20" customHeight="1">
      <c r="B53" s="29" t="inlineStr">
        <is>
          <t>Число отказов за интервал Δt</t>
        </is>
      </c>
      <c r="C53" s="30" t="inlineStr">
        <is>
          <t>dn</t>
        </is>
      </c>
      <c r="D53" s="31" t="n">
        <v>1</v>
      </c>
      <c r="E53" s="32" t="inlineStr">
        <is>
          <t>шт.</t>
        </is>
      </c>
      <c r="F53" s="33" t="inlineStr">
        <is>
          <t>Отказ за интервал 1000-1100 ч</t>
        </is>
      </c>
    </row>
    <row r="55" ht="20" customHeight="1">
      <c r="B55" s="27" t="inlineStr">
        <is>
          <t>Таблица 2. Расчет показателей надежности</t>
        </is>
      </c>
    </row>
    <row r="56" ht="24" customHeight="1">
      <c r="B56" s="35" t="inlineStr">
        <is>
          <t>Определяемый показатель</t>
        </is>
      </c>
      <c r="C56" s="35" t="inlineStr">
        <is>
          <t>Обозначение</t>
        </is>
      </c>
      <c r="D56" s="35" t="inlineStr">
        <is>
          <t>Математическая формула</t>
        </is>
      </c>
      <c r="E56" s="35" t="inlineStr">
        <is>
          <t>Значение (формула Excel)</t>
        </is>
      </c>
      <c r="F56" s="35" t="inlineStr">
        <is>
          <t>Ед. изм.</t>
        </is>
      </c>
      <c r="G56" s="35" t="inlineStr">
        <is>
          <t>Пояснение к результату</t>
        </is>
      </c>
    </row>
    <row r="57" ht="22" customHeight="1">
      <c r="B57" s="29" t="inlineStr">
        <is>
          <t>Число работоспособных гироскопов</t>
        </is>
      </c>
      <c r="C57" s="30" t="inlineStr">
        <is>
          <t>nt</t>
        </is>
      </c>
      <c r="D57" s="36" t="inlineStr">
        <is>
          <t>N - n_отк(t)</t>
        </is>
      </c>
      <c r="E57" s="37">
        <f>D48-D50</f>
        <v/>
      </c>
      <c r="F57" s="32" t="inlineStr">
        <is>
          <t>шт.</t>
        </is>
      </c>
      <c r="G57" s="33" t="inlineStr">
        <is>
          <t>n(1000) = 10 - 2 = 8 гироскопов</t>
        </is>
      </c>
    </row>
    <row r="58" ht="22" customHeight="1">
      <c r="B58" s="29" t="inlineStr">
        <is>
          <t>Частота отказов гироскопов</t>
        </is>
      </c>
      <c r="C58" s="30" t="inlineStr">
        <is>
          <t>f_1000</t>
        </is>
      </c>
      <c r="D58" s="36" t="inlineStr">
        <is>
          <t>Δn(t) / (N · Δt)</t>
        </is>
      </c>
      <c r="E58" s="11">
        <f>D53/(D48*D52)</f>
        <v/>
      </c>
      <c r="F58" s="32" t="inlineStr">
        <is>
          <t>1/ч</t>
        </is>
      </c>
      <c r="G58" s="33" t="inlineStr">
        <is>
          <t>f(1000) = 1 / (10 · 100) = 0.001 ч⁻¹</t>
        </is>
      </c>
    </row>
    <row r="59" ht="22" customHeight="1">
      <c r="B59" s="29" t="inlineStr">
        <is>
          <t>Интенсивность отказов гироскопов</t>
        </is>
      </c>
      <c r="C59" s="30" t="inlineStr">
        <is>
          <t>l_1000</t>
        </is>
      </c>
      <c r="D59" s="36" t="inlineStr">
        <is>
          <t>Δn(t) / (n(t) · Δt)</t>
        </is>
      </c>
      <c r="E59" s="11">
        <f>D53/(E57*D52)</f>
        <v/>
      </c>
      <c r="F59" s="32" t="inlineStr">
        <is>
          <t>1/ч</t>
        </is>
      </c>
      <c r="G59" s="33" t="inlineStr">
        <is>
          <t>λ(1000) = 1 / (8 · 100) = 0.00125 ч⁻¹</t>
        </is>
      </c>
    </row>
    <row r="60" ht="24" customHeight="1">
      <c r="B60" s="38" t="inlineStr">
        <is>
          <t>ВЫВОД / ОТВЕТ: При t = 1000 ч: частота отказов f(1000) = 0,001 1/ч (1,0·10⁻³ ч⁻¹); интенсивность отказов λ(1000) = 0,00125 1/ч (1,25·10⁻³ ч⁻¹).</t>
        </is>
      </c>
      <c r="C60" s="39" t="n"/>
      <c r="D60" s="39" t="n"/>
      <c r="E60" s="39" t="n"/>
      <c r="F60" s="39" t="n"/>
      <c r="G60" s="39" t="n"/>
    </row>
    <row r="63" ht="24" customHeight="1">
      <c r="B63" s="24" t="inlineStr">
        <is>
          <t>ЗАДАЧА № 9. Расчет характеристик электронных ламп: p(t) и q(t) при t = 4000 ч</t>
        </is>
      </c>
      <c r="C63" s="2" t="n"/>
      <c r="D63" s="2" t="n"/>
      <c r="E63" s="2" t="n"/>
      <c r="F63" s="2" t="n"/>
      <c r="G63" s="2" t="n"/>
    </row>
    <row r="64" ht="18" customHeight="1">
      <c r="B64" s="25" t="inlineStr">
        <is>
          <t>Условие: На испытание поставлено 1000 однотипных электронных ламп. За первые 3000 часов отказало 80 ламп. За интервал времени 3000 – 4000 часов отказало еще 50 ламп. Требуется определить p(t) и q(t) при t = 4000 ч.</t>
        </is>
      </c>
      <c r="C64" s="26" t="n"/>
      <c r="D64" s="26" t="n"/>
      <c r="E64" s="26" t="n"/>
      <c r="F64" s="26" t="n"/>
      <c r="G64" s="26" t="n"/>
    </row>
    <row r="65" ht="18" customHeight="1">
      <c r="B65" s="26" t="n"/>
      <c r="C65" s="26" t="n"/>
      <c r="D65" s="26" t="n"/>
      <c r="E65" s="26" t="n"/>
      <c r="F65" s="26" t="n"/>
      <c r="G65" s="26" t="n"/>
    </row>
    <row r="66" ht="20" customHeight="1">
      <c r="B66" s="27" t="inlineStr">
        <is>
          <t>Таблица 1. Исходные данные задачи</t>
        </is>
      </c>
    </row>
    <row r="67" ht="22" customHeight="1">
      <c r="B67" s="28" t="inlineStr">
        <is>
          <t>Наименование параметра</t>
        </is>
      </c>
      <c r="C67" s="28" t="inlineStr">
        <is>
          <t>Обозначение</t>
        </is>
      </c>
      <c r="D67" s="28" t="inlineStr">
        <is>
          <t>Значение</t>
        </is>
      </c>
      <c r="E67" s="28" t="inlineStr">
        <is>
          <t>Ед. изм.</t>
        </is>
      </c>
      <c r="F67" s="28" t="inlineStr">
        <is>
          <t>Пояснение</t>
        </is>
      </c>
    </row>
    <row r="68" ht="20" customHeight="1">
      <c r="B68" s="29" t="inlineStr">
        <is>
          <t>Общее число ламп на испытании</t>
        </is>
      </c>
      <c r="C68" s="30" t="inlineStr">
        <is>
          <t>N</t>
        </is>
      </c>
      <c r="D68" s="31" t="n">
        <v>1000</v>
      </c>
      <c r="E68" s="32" t="inlineStr">
        <is>
          <t>шт.</t>
        </is>
      </c>
      <c r="F68" s="33" t="inlineStr">
        <is>
          <t>Партия испытуемых ламп</t>
        </is>
      </c>
    </row>
    <row r="69" ht="20" customHeight="1">
      <c r="B69" s="29" t="inlineStr">
        <is>
          <t>Число отказавших за первые 3000 ч</t>
        </is>
      </c>
      <c r="C69" s="30" t="inlineStr">
        <is>
          <t>n_отк1</t>
        </is>
      </c>
      <c r="D69" s="31" t="n">
        <v>80</v>
      </c>
      <c r="E69" s="32" t="inlineStr">
        <is>
          <t>шт.</t>
        </is>
      </c>
      <c r="F69" s="33" t="inlineStr">
        <is>
          <t>Отказы за интервал 0 - 3000 ч</t>
        </is>
      </c>
    </row>
    <row r="70" ht="20" customHeight="1">
      <c r="B70" s="29" t="inlineStr">
        <is>
          <t>Число отказавших в интервале 3000-4000 ч</t>
        </is>
      </c>
      <c r="C70" s="30" t="inlineStr">
        <is>
          <t>dn</t>
        </is>
      </c>
      <c r="D70" s="31" t="n">
        <v>50</v>
      </c>
      <c r="E70" s="32" t="inlineStr">
        <is>
          <t>шт.</t>
        </is>
      </c>
      <c r="F70" s="33" t="inlineStr">
        <is>
          <t>Дополнительные отказы</t>
        </is>
      </c>
    </row>
    <row r="71" ht="20" customHeight="1">
      <c r="B71" s="29" t="inlineStr">
        <is>
          <t>Время наработки</t>
        </is>
      </c>
      <c r="C71" s="30" t="inlineStr">
        <is>
          <t>t</t>
        </is>
      </c>
      <c r="D71" s="31" t="n">
        <v>4000</v>
      </c>
      <c r="E71" s="32" t="inlineStr">
        <is>
          <t>ч</t>
        </is>
      </c>
      <c r="F71" s="33" t="inlineStr">
        <is>
          <t>Контрольный момент времени</t>
        </is>
      </c>
    </row>
    <row r="73" ht="20" customHeight="1">
      <c r="B73" s="27" t="inlineStr">
        <is>
          <t>Таблица 2. Расчет показателей надежности</t>
        </is>
      </c>
    </row>
    <row r="74" ht="24" customHeight="1">
      <c r="B74" s="35" t="inlineStr">
        <is>
          <t>Определяемый показатель</t>
        </is>
      </c>
      <c r="C74" s="35" t="inlineStr">
        <is>
          <t>Обозначение</t>
        </is>
      </c>
      <c r="D74" s="35" t="inlineStr">
        <is>
          <t>Математическая формула</t>
        </is>
      </c>
      <c r="E74" s="35" t="inlineStr">
        <is>
          <t>Значение (формула Excel)</t>
        </is>
      </c>
      <c r="F74" s="35" t="inlineStr">
        <is>
          <t>Ед. изм.</t>
        </is>
      </c>
      <c r="G74" s="35" t="inlineStr">
        <is>
          <t>Пояснение к результату</t>
        </is>
      </c>
    </row>
    <row r="75" ht="22" customHeight="1">
      <c r="B75" s="29" t="inlineStr">
        <is>
          <t>Суммарное число отказов к t=4000 ч</t>
        </is>
      </c>
      <c r="C75" s="30" t="inlineStr">
        <is>
          <t>n_tot_fail</t>
        </is>
      </c>
      <c r="D75" s="36" t="inlineStr">
        <is>
          <t>n_отк(3000) + Δn</t>
        </is>
      </c>
      <c r="E75" s="37">
        <f>D69+D70</f>
        <v/>
      </c>
      <c r="F75" s="32" t="inlineStr">
        <is>
          <t>шт.</t>
        </is>
      </c>
      <c r="G75" s="33" t="inlineStr">
        <is>
          <t>Всего отказало к 4000 ч: 80 + 50 = 130</t>
        </is>
      </c>
    </row>
    <row r="76" ht="22" customHeight="1">
      <c r="B76" s="29" t="inlineStr">
        <is>
          <t>Число ламп, не отказавших к 4000 ч</t>
        </is>
      </c>
      <c r="C76" s="30" t="inlineStr">
        <is>
          <t>nt</t>
        </is>
      </c>
      <c r="D76" s="36" t="inlineStr">
        <is>
          <t>N - Σn_отк</t>
        </is>
      </c>
      <c r="E76" s="37">
        <f>D68-E75</f>
        <v/>
      </c>
      <c r="F76" s="32" t="inlineStr">
        <is>
          <t>шт.</t>
        </is>
      </c>
      <c r="G76" s="33" t="inlineStr">
        <is>
          <t>Работоспособно к 4000 ч: 1000 - 130 = 870</t>
        </is>
      </c>
    </row>
    <row r="77" ht="22" customHeight="1">
      <c r="B77" s="29" t="inlineStr">
        <is>
          <t>Вероятность безотказной работы</t>
        </is>
      </c>
      <c r="C77" s="30" t="inlineStr">
        <is>
          <t>p_4000</t>
        </is>
      </c>
      <c r="D77" s="36" t="inlineStr">
        <is>
          <t>n(4000) / N</t>
        </is>
      </c>
      <c r="E77" s="21">
        <f>E76/D68</f>
        <v/>
      </c>
      <c r="F77" s="32" t="inlineStr">
        <is>
          <t>—</t>
        </is>
      </c>
      <c r="G77" s="33" t="inlineStr">
        <is>
          <t>p(4000) = 870 / 1000 = 0.87 (87%)</t>
        </is>
      </c>
    </row>
    <row r="78" ht="22" customHeight="1">
      <c r="B78" s="29" t="inlineStr">
        <is>
          <t>Вероятность отказа ламп</t>
        </is>
      </c>
      <c r="C78" s="30" t="inlineStr">
        <is>
          <t>q_4000</t>
        </is>
      </c>
      <c r="D78" s="36" t="inlineStr">
        <is>
          <t>Σn_отк / N = 1 - p(4000)</t>
        </is>
      </c>
      <c r="E78" s="21">
        <f>1-E77</f>
        <v/>
      </c>
      <c r="F78" s="32" t="inlineStr">
        <is>
          <t>—</t>
        </is>
      </c>
      <c r="G78" s="33" t="inlineStr">
        <is>
          <t>q(4000) = 130 / 1000 = 0.13 (13%)</t>
        </is>
      </c>
    </row>
    <row r="79" ht="24" customHeight="1">
      <c r="B79" s="38" t="inlineStr">
        <is>
          <t>ВЫВОД / ОТВЕТ: К моменту времени t = 4000 ч вероятность безотказной работы p(4000) = 0,87 (87%), вероятность отказа ламп q(4000) = 0,13 (13%).</t>
        </is>
      </c>
      <c r="C79" s="39" t="n"/>
      <c r="D79" s="39" t="n"/>
      <c r="E79" s="39" t="n"/>
      <c r="F79" s="39" t="n"/>
      <c r="G79" s="39" t="n"/>
    </row>
    <row r="82" ht="24" customHeight="1">
      <c r="B82" s="24" t="inlineStr">
        <is>
          <t>ЗАДАЧА № 10. Определение p(1300), p(1400), f(1300), λ(1300) для партии 1000 изделий</t>
        </is>
      </c>
      <c r="C82" s="2" t="n"/>
      <c r="D82" s="2" t="n"/>
      <c r="E82" s="2" t="n"/>
      <c r="F82" s="2" t="n"/>
      <c r="G82" s="2" t="n"/>
    </row>
    <row r="83" ht="18" customHeight="1">
      <c r="B83" s="25" t="inlineStr">
        <is>
          <t>Условие: На испытание поставлено 1000 изделий. За время t = 1300 ч. вышло из строя 288 изделий. За последующий интервал времени 1300 – 1400 часов вышло из строя еще 13 изделий. Необходимо вычислить p(t) при t = 1300 ч. и t = 1400 ч.; f(t), λ(t) при t = 1300 ч.</t>
        </is>
      </c>
      <c r="C83" s="26" t="n"/>
      <c r="D83" s="26" t="n"/>
      <c r="E83" s="26" t="n"/>
      <c r="F83" s="26" t="n"/>
      <c r="G83" s="26" t="n"/>
    </row>
    <row r="84" ht="18" customHeight="1">
      <c r="B84" s="26" t="n"/>
      <c r="C84" s="26" t="n"/>
      <c r="D84" s="26" t="n"/>
      <c r="E84" s="26" t="n"/>
      <c r="F84" s="26" t="n"/>
      <c r="G84" s="26" t="n"/>
    </row>
    <row r="85" ht="20" customHeight="1">
      <c r="B85" s="27" t="inlineStr">
        <is>
          <t>Таблица 1. Исходные данные задачи</t>
        </is>
      </c>
    </row>
    <row r="86" ht="22" customHeight="1">
      <c r="B86" s="28" t="inlineStr">
        <is>
          <t>Наименование параметра</t>
        </is>
      </c>
      <c r="C86" s="28" t="inlineStr">
        <is>
          <t>Обозначение</t>
        </is>
      </c>
      <c r="D86" s="28" t="inlineStr">
        <is>
          <t>Значение</t>
        </is>
      </c>
      <c r="E86" s="28" t="inlineStr">
        <is>
          <t>Ед. изм.</t>
        </is>
      </c>
      <c r="F86" s="28" t="inlineStr">
        <is>
          <t>Пояснение</t>
        </is>
      </c>
    </row>
    <row r="87" ht="20" customHeight="1">
      <c r="B87" s="29" t="inlineStr">
        <is>
          <t>Общее число изделий</t>
        </is>
      </c>
      <c r="C87" s="30" t="inlineStr">
        <is>
          <t>N</t>
        </is>
      </c>
      <c r="D87" s="31" t="n">
        <v>1000</v>
      </c>
      <c r="E87" s="32" t="inlineStr">
        <is>
          <t>шт.</t>
        </is>
      </c>
      <c r="F87" s="33" t="inlineStr">
        <is>
          <t>Число изделий на испытании</t>
        </is>
      </c>
    </row>
    <row r="88" ht="20" customHeight="1">
      <c r="B88" s="29" t="inlineStr">
        <is>
          <t>Время наработки t1</t>
        </is>
      </c>
      <c r="C88" s="30" t="inlineStr">
        <is>
          <t>t1</t>
        </is>
      </c>
      <c r="D88" s="31" t="n">
        <v>1300</v>
      </c>
      <c r="E88" s="32" t="inlineStr">
        <is>
          <t>ч</t>
        </is>
      </c>
      <c r="F88" s="33" t="inlineStr">
        <is>
          <t>Момент первого замера</t>
        </is>
      </c>
    </row>
    <row r="89" ht="20" customHeight="1">
      <c r="B89" s="29" t="inlineStr">
        <is>
          <t>Число отказов к моменту t1</t>
        </is>
      </c>
      <c r="C89" s="30" t="inlineStr">
        <is>
          <t>n_отк1</t>
        </is>
      </c>
      <c r="D89" s="31" t="n">
        <v>288</v>
      </c>
      <c r="E89" s="32" t="inlineStr">
        <is>
          <t>шт.</t>
        </is>
      </c>
      <c r="F89" s="33" t="inlineStr">
        <is>
          <t>Отказы за первые 1300 ч</t>
        </is>
      </c>
    </row>
    <row r="90" ht="20" customHeight="1">
      <c r="B90" s="29" t="inlineStr">
        <is>
          <t>Время наработки t2</t>
        </is>
      </c>
      <c r="C90" s="30" t="inlineStr">
        <is>
          <t>t2</t>
        </is>
      </c>
      <c r="D90" s="31" t="n">
        <v>1400</v>
      </c>
      <c r="E90" s="32" t="inlineStr">
        <is>
          <t>ч</t>
        </is>
      </c>
      <c r="F90" s="33" t="inlineStr">
        <is>
          <t>Момент второго замера</t>
        </is>
      </c>
    </row>
    <row r="91" ht="20" customHeight="1">
      <c r="B91" s="29" t="inlineStr">
        <is>
          <t>Интервал времени</t>
        </is>
      </c>
      <c r="C91" s="30" t="inlineStr">
        <is>
          <t>dt</t>
        </is>
      </c>
      <c r="D91" s="34">
        <f>D90-D88</f>
        <v/>
      </c>
      <c r="E91" s="32" t="inlineStr">
        <is>
          <t>ч</t>
        </is>
      </c>
      <c r="F91" s="33" t="inlineStr">
        <is>
          <t>Δt = 1400 - 1300 = 100 ч</t>
        </is>
      </c>
    </row>
    <row r="92" ht="20" customHeight="1">
      <c r="B92" s="29" t="inlineStr">
        <is>
          <t>Число отказов в интервале (t1, t2)</t>
        </is>
      </c>
      <c r="C92" s="30" t="inlineStr">
        <is>
          <t>dn</t>
        </is>
      </c>
      <c r="D92" s="31" t="n">
        <v>13</v>
      </c>
      <c r="E92" s="32" t="inlineStr">
        <is>
          <t>шт.</t>
        </is>
      </c>
      <c r="F92" s="33" t="inlineStr">
        <is>
          <t>Отказы за интервал 1300-1400 ч</t>
        </is>
      </c>
    </row>
    <row r="94" ht="20" customHeight="1">
      <c r="B94" s="27" t="inlineStr">
        <is>
          <t>Таблица 2. Расчет показателей надежности</t>
        </is>
      </c>
    </row>
    <row r="95" ht="24" customHeight="1">
      <c r="B95" s="35" t="inlineStr">
        <is>
          <t>Определяемый показатель</t>
        </is>
      </c>
      <c r="C95" s="35" t="inlineStr">
        <is>
          <t>Обозначение</t>
        </is>
      </c>
      <c r="D95" s="35" t="inlineStr">
        <is>
          <t>Математическая формула</t>
        </is>
      </c>
      <c r="E95" s="35" t="inlineStr">
        <is>
          <t>Значение (формула Excel)</t>
        </is>
      </c>
      <c r="F95" s="35" t="inlineStr">
        <is>
          <t>Ед. изм.</t>
        </is>
      </c>
      <c r="G95" s="35" t="inlineStr">
        <is>
          <t>Пояснение к результату</t>
        </is>
      </c>
    </row>
    <row r="96" ht="22" customHeight="1">
      <c r="B96" s="29" t="inlineStr">
        <is>
          <t>Число работоспособных при t=1300 ч</t>
        </is>
      </c>
      <c r="C96" s="30" t="inlineStr">
        <is>
          <t>nt1</t>
        </is>
      </c>
      <c r="D96" s="36" t="inlineStr">
        <is>
          <t>N - n_отк(1300)</t>
        </is>
      </c>
      <c r="E96" s="37">
        <f>D87-D89</f>
        <v/>
      </c>
      <c r="F96" s="32" t="inlineStr">
        <is>
          <t>шт.</t>
        </is>
      </c>
      <c r="G96" s="33" t="inlineStr">
        <is>
          <t>n(1300) = 1000 - 288 = 712 шт.</t>
        </is>
      </c>
    </row>
    <row r="97" ht="22" customHeight="1">
      <c r="B97" s="29" t="inlineStr">
        <is>
          <t>Число работоспособных при t=1400 ч</t>
        </is>
      </c>
      <c r="C97" s="30" t="inlineStr">
        <is>
          <t>nt2</t>
        </is>
      </c>
      <c r="D97" s="36" t="inlineStr">
        <is>
          <t>n(1300) - Δn</t>
        </is>
      </c>
      <c r="E97" s="37">
        <f>E96-D92</f>
        <v/>
      </c>
      <c r="F97" s="32" t="inlineStr">
        <is>
          <t>шт.</t>
        </is>
      </c>
      <c r="G97" s="33" t="inlineStr">
        <is>
          <t>n(1400) = 712 - 13 = 699 шт.</t>
        </is>
      </c>
    </row>
    <row r="98" ht="22" customHeight="1">
      <c r="B98" s="29" t="inlineStr">
        <is>
          <t>Вероятность безотказной работы p(1300)</t>
        </is>
      </c>
      <c r="C98" s="30" t="inlineStr">
        <is>
          <t>p_1300</t>
        </is>
      </c>
      <c r="D98" s="36" t="inlineStr">
        <is>
          <t>n(1300) / N</t>
        </is>
      </c>
      <c r="E98" s="21">
        <f>E96/D87</f>
        <v/>
      </c>
      <c r="F98" s="32" t="inlineStr">
        <is>
          <t>—</t>
        </is>
      </c>
      <c r="G98" s="33" t="inlineStr">
        <is>
          <t>p(1300) = 712 / 1000 = 0.712 (71.2%)</t>
        </is>
      </c>
    </row>
    <row r="99" ht="22" customHeight="1">
      <c r="B99" s="29" t="inlineStr">
        <is>
          <t>Вероятность безотказной работы p(1400)</t>
        </is>
      </c>
      <c r="C99" s="30" t="inlineStr">
        <is>
          <t>p_1400</t>
        </is>
      </c>
      <c r="D99" s="36" t="inlineStr">
        <is>
          <t>n(1400) / N</t>
        </is>
      </c>
      <c r="E99" s="21">
        <f>E97/D87</f>
        <v/>
      </c>
      <c r="F99" s="32" t="inlineStr">
        <is>
          <t>—</t>
        </is>
      </c>
      <c r="G99" s="33" t="inlineStr">
        <is>
          <t>p(1400) = 699 / 1000 = 0.699 (69.9%)</t>
        </is>
      </c>
    </row>
    <row r="100" ht="22" customHeight="1">
      <c r="B100" s="29" t="inlineStr">
        <is>
          <t>Частота отказов f(1300)</t>
        </is>
      </c>
      <c r="C100" s="30" t="inlineStr">
        <is>
          <t>f_1300</t>
        </is>
      </c>
      <c r="D100" s="36" t="inlineStr">
        <is>
          <t>Δn / (N · Δt)</t>
        </is>
      </c>
      <c r="E100" s="22">
        <f>D92/(D87*D91)</f>
        <v/>
      </c>
      <c r="F100" s="32" t="inlineStr">
        <is>
          <t>1/ч</t>
        </is>
      </c>
      <c r="G100" s="33" t="inlineStr">
        <is>
          <t>f(1300) = 13 / (1000 · 100) = 0.00013 ч⁻¹</t>
        </is>
      </c>
    </row>
    <row r="101" ht="22" customHeight="1">
      <c r="B101" s="29" t="inlineStr">
        <is>
          <t>Интенсивность отказов λ(1300)</t>
        </is>
      </c>
      <c r="C101" s="30" t="inlineStr">
        <is>
          <t>l_1300</t>
        </is>
      </c>
      <c r="D101" s="36" t="inlineStr">
        <is>
          <t>Δn / (n(1300) · Δt)</t>
        </is>
      </c>
      <c r="E101" s="22">
        <f>D92/(E96*D91)</f>
        <v/>
      </c>
      <c r="F101" s="32" t="inlineStr">
        <is>
          <t>1/ч</t>
        </is>
      </c>
      <c r="G101" s="33" t="inlineStr">
        <is>
          <t>λ(1300) = 13 / (712 · 100) ≈ 0.00018258 ч⁻¹</t>
        </is>
      </c>
    </row>
    <row r="102" ht="24" customHeight="1">
      <c r="B102" s="38" t="inlineStr">
        <is>
          <t>ВЫВОД / ОТВЕТ: Результаты: p(1300) = 0,7120; p(1400) = 0,6990; f(1300) = 1,30·10⁻⁴ 1/ч (0,000130 ч⁻¹); λ(1300) = 1,83·10⁻⁴ 1/ч (0,000183 ч⁻¹).</t>
        </is>
      </c>
      <c r="C102" s="39" t="n"/>
      <c r="D102" s="39" t="n"/>
      <c r="E102" s="39" t="n"/>
      <c r="F102" s="39" t="n"/>
      <c r="G102" s="39" t="n"/>
    </row>
    <row r="105" ht="24" customHeight="1">
      <c r="B105" s="24" t="inlineStr">
        <is>
          <t>ЗАДАЧА № 11. Определение p(60), p(65), f(60), λ(60) для выборки из 45 изделий</t>
        </is>
      </c>
      <c r="C105" s="2" t="n"/>
      <c r="D105" s="2" t="n"/>
      <c r="E105" s="2" t="n"/>
      <c r="F105" s="2" t="n"/>
      <c r="G105" s="2" t="n"/>
    </row>
    <row r="106" ht="18" customHeight="1">
      <c r="B106" s="25" t="inlineStr">
        <is>
          <t>Условие: На испытание поставлено 45 изделий. За время t = 60 ч. вышло из строя 35 изделий. За последующий интервал времени 60 – 65 часов вышло из строя еще 3 изделия. Необходимо вычислить p(t) при t = 60 ч. и t = 65 ч.; f(t), λ(t) при t = 60 ч.</t>
        </is>
      </c>
      <c r="C106" s="26" t="n"/>
      <c r="D106" s="26" t="n"/>
      <c r="E106" s="26" t="n"/>
      <c r="F106" s="26" t="n"/>
      <c r="G106" s="26" t="n"/>
    </row>
    <row r="107" ht="18" customHeight="1">
      <c r="B107" s="26" t="n"/>
      <c r="C107" s="26" t="n"/>
      <c r="D107" s="26" t="n"/>
      <c r="E107" s="26" t="n"/>
      <c r="F107" s="26" t="n"/>
      <c r="G107" s="26" t="n"/>
    </row>
    <row r="108" ht="20" customHeight="1">
      <c r="B108" s="27" t="inlineStr">
        <is>
          <t>Таблица 1. Исходные данные задачи</t>
        </is>
      </c>
    </row>
    <row r="109" ht="22" customHeight="1">
      <c r="B109" s="28" t="inlineStr">
        <is>
          <t>Наименование параметра</t>
        </is>
      </c>
      <c r="C109" s="28" t="inlineStr">
        <is>
          <t>Обозначение</t>
        </is>
      </c>
      <c r="D109" s="28" t="inlineStr">
        <is>
          <t>Значение</t>
        </is>
      </c>
      <c r="E109" s="28" t="inlineStr">
        <is>
          <t>Ед. изм.</t>
        </is>
      </c>
      <c r="F109" s="28" t="inlineStr">
        <is>
          <t>Пояснение</t>
        </is>
      </c>
    </row>
    <row r="110" ht="20" customHeight="1">
      <c r="B110" s="29" t="inlineStr">
        <is>
          <t>Общее число изделий</t>
        </is>
      </c>
      <c r="C110" s="30" t="inlineStr">
        <is>
          <t>N</t>
        </is>
      </c>
      <c r="D110" s="31" t="n">
        <v>45</v>
      </c>
      <c r="E110" s="32" t="inlineStr">
        <is>
          <t>шт.</t>
        </is>
      </c>
      <c r="F110" s="33" t="inlineStr">
        <is>
          <t>Испытуемая группа изделий</t>
        </is>
      </c>
    </row>
    <row r="111" ht="20" customHeight="1">
      <c r="B111" s="29" t="inlineStr">
        <is>
          <t>Время наработки t1</t>
        </is>
      </c>
      <c r="C111" s="30" t="inlineStr">
        <is>
          <t>t1</t>
        </is>
      </c>
      <c r="D111" s="31" t="n">
        <v>60</v>
      </c>
      <c r="E111" s="32" t="inlineStr">
        <is>
          <t>ч</t>
        </is>
      </c>
      <c r="F111" s="33" t="inlineStr">
        <is>
          <t>Начало интервала</t>
        </is>
      </c>
    </row>
    <row r="112" ht="20" customHeight="1">
      <c r="B112" s="29" t="inlineStr">
        <is>
          <t>Число отказов к моменту t1</t>
        </is>
      </c>
      <c r="C112" s="30" t="inlineStr">
        <is>
          <t>n_отк1</t>
        </is>
      </c>
      <c r="D112" s="31" t="n">
        <v>35</v>
      </c>
      <c r="E112" s="32" t="inlineStr">
        <is>
          <t>шт.</t>
        </is>
      </c>
      <c r="F112" s="33" t="inlineStr">
        <is>
          <t>Отказы за первые 60 ч</t>
        </is>
      </c>
    </row>
    <row r="113" ht="20" customHeight="1">
      <c r="B113" s="29" t="inlineStr">
        <is>
          <t>Время наработки t2</t>
        </is>
      </c>
      <c r="C113" s="30" t="inlineStr">
        <is>
          <t>t2</t>
        </is>
      </c>
      <c r="D113" s="31" t="n">
        <v>65</v>
      </c>
      <c r="E113" s="32" t="inlineStr">
        <is>
          <t>ч</t>
        </is>
      </c>
      <c r="F113" s="33" t="inlineStr">
        <is>
          <t>Конец интервала</t>
        </is>
      </c>
    </row>
    <row r="114" ht="20" customHeight="1">
      <c r="B114" s="29" t="inlineStr">
        <is>
          <t>Интервал времени</t>
        </is>
      </c>
      <c r="C114" s="30" t="inlineStr">
        <is>
          <t>dt</t>
        </is>
      </c>
      <c r="D114" s="34">
        <f>D113-D111</f>
        <v/>
      </c>
      <c r="E114" s="32" t="inlineStr">
        <is>
          <t>ч</t>
        </is>
      </c>
      <c r="F114" s="33" t="inlineStr">
        <is>
          <t>Δt = 65 - 60 = 5 ч</t>
        </is>
      </c>
    </row>
    <row r="115" ht="20" customHeight="1">
      <c r="B115" s="29" t="inlineStr">
        <is>
          <t>Число отказов в интервале (60-65 ч)</t>
        </is>
      </c>
      <c r="C115" s="30" t="inlineStr">
        <is>
          <t>dn</t>
        </is>
      </c>
      <c r="D115" s="31" t="n">
        <v>3</v>
      </c>
      <c r="E115" s="32" t="inlineStr">
        <is>
          <t>шт.</t>
        </is>
      </c>
      <c r="F115" s="33" t="inlineStr">
        <is>
          <t>Отказы за 5 ч</t>
        </is>
      </c>
    </row>
    <row r="117" ht="20" customHeight="1">
      <c r="B117" s="27" t="inlineStr">
        <is>
          <t>Таблица 2. Расчет показателей надежности</t>
        </is>
      </c>
    </row>
    <row r="118" ht="24" customHeight="1">
      <c r="B118" s="35" t="inlineStr">
        <is>
          <t>Определяемый показатель</t>
        </is>
      </c>
      <c r="C118" s="35" t="inlineStr">
        <is>
          <t>Обозначение</t>
        </is>
      </c>
      <c r="D118" s="35" t="inlineStr">
        <is>
          <t>Математическая формула</t>
        </is>
      </c>
      <c r="E118" s="35" t="inlineStr">
        <is>
          <t>Значение (формула Excel)</t>
        </is>
      </c>
      <c r="F118" s="35" t="inlineStr">
        <is>
          <t>Ед. изм.</t>
        </is>
      </c>
      <c r="G118" s="35" t="inlineStr">
        <is>
          <t>Пояснение к результату</t>
        </is>
      </c>
    </row>
    <row r="119" ht="22" customHeight="1">
      <c r="B119" s="29" t="inlineStr">
        <is>
          <t>Число работоспособных при t=60 ч</t>
        </is>
      </c>
      <c r="C119" s="30" t="inlineStr">
        <is>
          <t>nt1</t>
        </is>
      </c>
      <c r="D119" s="36" t="inlineStr">
        <is>
          <t>N - n_отк(60)</t>
        </is>
      </c>
      <c r="E119" s="37">
        <f>D110-D112</f>
        <v/>
      </c>
      <c r="F119" s="32" t="inlineStr">
        <is>
          <t>шт.</t>
        </is>
      </c>
      <c r="G119" s="33" t="inlineStr">
        <is>
          <t>n(60) = 45 - 35 = 10 шт.</t>
        </is>
      </c>
    </row>
    <row r="120" ht="22" customHeight="1">
      <c r="B120" s="29" t="inlineStr">
        <is>
          <t>Число работоспособных при t=65 ч</t>
        </is>
      </c>
      <c r="C120" s="30" t="inlineStr">
        <is>
          <t>nt2</t>
        </is>
      </c>
      <c r="D120" s="36" t="inlineStr">
        <is>
          <t>n(60) - Δn</t>
        </is>
      </c>
      <c r="E120" s="37">
        <f>E119-D115</f>
        <v/>
      </c>
      <c r="F120" s="32" t="inlineStr">
        <is>
          <t>шт.</t>
        </is>
      </c>
      <c r="G120" s="33" t="inlineStr">
        <is>
          <t>n(65) = 10 - 3 = 7 шт.</t>
        </is>
      </c>
    </row>
    <row r="121" ht="22" customHeight="1">
      <c r="B121" s="29" t="inlineStr">
        <is>
          <t>Вероятность безотказной работы p(60)</t>
        </is>
      </c>
      <c r="C121" s="30" t="inlineStr">
        <is>
          <t>p_60</t>
        </is>
      </c>
      <c r="D121" s="36" t="inlineStr">
        <is>
          <t>n(60) / N</t>
        </is>
      </c>
      <c r="E121" s="21">
        <f>E119/D110</f>
        <v/>
      </c>
      <c r="F121" s="32" t="inlineStr">
        <is>
          <t>—</t>
        </is>
      </c>
      <c r="G121" s="33" t="inlineStr">
        <is>
          <t>p(60) = 10 / 45 ≈ 0.2222 (22.2%)</t>
        </is>
      </c>
    </row>
    <row r="122" ht="22" customHeight="1">
      <c r="B122" s="29" t="inlineStr">
        <is>
          <t>Вероятность безотказной работы p(65)</t>
        </is>
      </c>
      <c r="C122" s="30" t="inlineStr">
        <is>
          <t>p_65</t>
        </is>
      </c>
      <c r="D122" s="36" t="inlineStr">
        <is>
          <t>n(65) / N</t>
        </is>
      </c>
      <c r="E122" s="21">
        <f>E120/D110</f>
        <v/>
      </c>
      <c r="F122" s="32" t="inlineStr">
        <is>
          <t>—</t>
        </is>
      </c>
      <c r="G122" s="33" t="inlineStr">
        <is>
          <t>p(65) = 7 / 45 ≈ 0.1556 (15.6%)</t>
        </is>
      </c>
    </row>
    <row r="123" ht="22" customHeight="1">
      <c r="B123" s="29" t="inlineStr">
        <is>
          <t>Частота отказов f(60)</t>
        </is>
      </c>
      <c r="C123" s="30" t="inlineStr">
        <is>
          <t>f_60</t>
        </is>
      </c>
      <c r="D123" s="36" t="inlineStr">
        <is>
          <t>Δn / (N · Δt)</t>
        </is>
      </c>
      <c r="E123" s="22">
        <f>D115/(D110*D114)</f>
        <v/>
      </c>
      <c r="F123" s="32" t="inlineStr">
        <is>
          <t>1/ч</t>
        </is>
      </c>
      <c r="G123" s="33" t="inlineStr">
        <is>
          <t>f(60) = 3 / (45 · 5) = 1/75 ≈ 0.013333 ч⁻¹</t>
        </is>
      </c>
    </row>
    <row r="124" ht="22" customHeight="1">
      <c r="B124" s="29" t="inlineStr">
        <is>
          <t>Интенсивность отказов λ(60)</t>
        </is>
      </c>
      <c r="C124" s="30" t="inlineStr">
        <is>
          <t>l_60</t>
        </is>
      </c>
      <c r="D124" s="36" t="inlineStr">
        <is>
          <t>Δn / (n(60) · Δt)</t>
        </is>
      </c>
      <c r="E124" s="22">
        <f>D115/(E119*D114)</f>
        <v/>
      </c>
      <c r="F124" s="32" t="inlineStr">
        <is>
          <t>1/ч</t>
        </is>
      </c>
      <c r="G124" s="33" t="inlineStr">
        <is>
          <t>λ(60) = 3 / (10 · 5) = 0.060000 ч⁻¹</t>
        </is>
      </c>
    </row>
    <row r="125" ht="24" customHeight="1">
      <c r="B125" s="38" t="inlineStr">
        <is>
          <t>ВЫВОД / ОТВЕТ: Результаты: p(60) = 0,2222; p(65) = 0,1556; f(60) = 0,013333 1/ч; λ(60) = 0,060000 1/ч (6,0·10⁻² ч⁻¹).</t>
        </is>
      </c>
      <c r="C125" s="39" t="n"/>
      <c r="D125" s="39" t="n"/>
      <c r="E125" s="39" t="n"/>
      <c r="F125" s="39" t="n"/>
      <c r="G125" s="39" t="n"/>
    </row>
    <row r="128" ht="24" customHeight="1">
      <c r="B128" s="40" t="inlineStr">
        <is>
          <t>ЗАДАЧА № 12. Расчет статистической оценки среднего времени безотказной работы mt* по сгруппированным данным</t>
        </is>
      </c>
      <c r="C128" s="2" t="n"/>
      <c r="D128" s="2" t="n"/>
      <c r="E128" s="2" t="n"/>
      <c r="F128" s="2" t="n"/>
      <c r="G128" s="2" t="n"/>
    </row>
    <row r="129" ht="18" customHeight="1">
      <c r="B129" s="25" t="inlineStr">
        <is>
          <t>Условие: В результате наблюдения за 45 образцами радиоэлектронного оборудования, которые прошли предварительную 80-часовую приработку, получены данные до первого отказа всех 45 образцов, сведенные в таблицу. Необходимо определить mt*.</t>
        </is>
      </c>
      <c r="C129" s="26" t="n"/>
      <c r="D129" s="26" t="n"/>
      <c r="E129" s="26" t="n"/>
      <c r="F129" s="26" t="n"/>
      <c r="G129" s="26" t="n"/>
    </row>
    <row r="130" ht="18" customHeight="1">
      <c r="B130" s="26" t="n"/>
      <c r="C130" s="26" t="n"/>
      <c r="D130" s="26" t="n"/>
      <c r="E130" s="26" t="n"/>
      <c r="F130" s="26" t="n"/>
      <c r="G130" s="26" t="n"/>
    </row>
    <row r="131" ht="20" customHeight="1">
      <c r="B131" s="27" t="inlineStr">
        <is>
          <t>Таблица 1. Расчет характеристик по интервалам времени (Формула 1.6: mt* ≈ Σ(ni · tср.i) / N)</t>
        </is>
      </c>
    </row>
    <row r="132" ht="25" customHeight="1">
      <c r="B132" s="7" t="inlineStr">
        <is>
          <t>№ интервала (i)</t>
        </is>
      </c>
      <c r="C132" s="7" t="inlineStr">
        <is>
          <t>Интервал времени Δti, ч</t>
        </is>
      </c>
      <c r="D132" s="7" t="inlineStr">
        <is>
          <t>Середина интервала tср.i, ч</t>
        </is>
      </c>
      <c r="E132" s="7" t="inlineStr">
        <is>
          <t>Число отказов ni, шт.</t>
        </is>
      </c>
      <c r="F132" s="7" t="inlineStr">
        <is>
          <t>Произведение (ni · tср.i), ч·шт</t>
        </is>
      </c>
      <c r="G132" s="7" t="inlineStr">
        <is>
          <t>Пояснение</t>
        </is>
      </c>
    </row>
    <row r="133" ht="20" customHeight="1">
      <c r="B133" s="32" t="n">
        <v>1</v>
      </c>
      <c r="C133" s="32" t="inlineStr">
        <is>
          <t>0 - 10</t>
        </is>
      </c>
      <c r="D133" s="41" t="n">
        <v>5</v>
      </c>
      <c r="E133" s="42" t="n">
        <v>19</v>
      </c>
      <c r="F133" s="43">
        <f>D133*E133</f>
        <v/>
      </c>
      <c r="G133" s="33" t="inlineStr">
        <is>
          <t>tср = (0+10)/2 = 5.0 ч</t>
        </is>
      </c>
    </row>
    <row r="134" ht="20" customHeight="1">
      <c r="B134" s="32" t="n">
        <v>2</v>
      </c>
      <c r="C134" s="32" t="inlineStr">
        <is>
          <t>10 - 20</t>
        </is>
      </c>
      <c r="D134" s="41" t="n">
        <v>15</v>
      </c>
      <c r="E134" s="42" t="n">
        <v>13</v>
      </c>
      <c r="F134" s="43">
        <f>D134*E134</f>
        <v/>
      </c>
      <c r="G134" s="33" t="inlineStr">
        <is>
          <t>tср = (10+20)/2 = 15.0 ч</t>
        </is>
      </c>
    </row>
    <row r="135" ht="20" customHeight="1">
      <c r="B135" s="32" t="n">
        <v>3</v>
      </c>
      <c r="C135" s="32" t="inlineStr">
        <is>
          <t>20 - 30</t>
        </is>
      </c>
      <c r="D135" s="41" t="n">
        <v>25</v>
      </c>
      <c r="E135" s="42" t="n">
        <v>8</v>
      </c>
      <c r="F135" s="43">
        <f>D135*E135</f>
        <v/>
      </c>
      <c r="G135" s="33" t="inlineStr">
        <is>
          <t>tср = (20+30)/2 = 25.0 ч</t>
        </is>
      </c>
    </row>
    <row r="136" ht="20" customHeight="1">
      <c r="B136" s="32" t="n">
        <v>4</v>
      </c>
      <c r="C136" s="32" t="inlineStr">
        <is>
          <t>30 - 40</t>
        </is>
      </c>
      <c r="D136" s="41" t="n">
        <v>35</v>
      </c>
      <c r="E136" s="42" t="n">
        <v>3</v>
      </c>
      <c r="F136" s="43">
        <f>D136*E136</f>
        <v/>
      </c>
      <c r="G136" s="33" t="inlineStr">
        <is>
          <t>tср = (30+40)/2 = 35.0 ч</t>
        </is>
      </c>
    </row>
    <row r="137" ht="20" customHeight="1">
      <c r="B137" s="32" t="n">
        <v>5</v>
      </c>
      <c r="C137" s="32" t="inlineStr">
        <is>
          <t>40 - 50</t>
        </is>
      </c>
      <c r="D137" s="41" t="n">
        <v>45</v>
      </c>
      <c r="E137" s="42" t="n">
        <v>0</v>
      </c>
      <c r="F137" s="43">
        <f>D137*E137</f>
        <v/>
      </c>
      <c r="G137" s="33" t="inlineStr">
        <is>
          <t>tср = (40+50)/2 = 45.0 ч</t>
        </is>
      </c>
    </row>
    <row r="138" ht="20" customHeight="1">
      <c r="B138" s="32" t="n">
        <v>6</v>
      </c>
      <c r="C138" s="32" t="inlineStr">
        <is>
          <t>50 - 60</t>
        </is>
      </c>
      <c r="D138" s="41" t="n">
        <v>55</v>
      </c>
      <c r="E138" s="42" t="n">
        <v>1</v>
      </c>
      <c r="F138" s="43">
        <f>D138*E138</f>
        <v/>
      </c>
      <c r="G138" s="33" t="inlineStr">
        <is>
          <t>tср = (50+60)/2 = 55.0 ч</t>
        </is>
      </c>
    </row>
    <row r="139" ht="20" customHeight="1">
      <c r="B139" s="32" t="n">
        <v>7</v>
      </c>
      <c r="C139" s="32" t="inlineStr">
        <is>
          <t>60 - 70</t>
        </is>
      </c>
      <c r="D139" s="41" t="n">
        <v>65</v>
      </c>
      <c r="E139" s="42" t="n">
        <v>1</v>
      </c>
      <c r="F139" s="43">
        <f>D139*E139</f>
        <v/>
      </c>
      <c r="G139" s="33" t="inlineStr">
        <is>
          <t>tср = (60+70)/2 = 65.0 ч</t>
        </is>
      </c>
    </row>
    <row r="140" ht="22" customHeight="1">
      <c r="B140" s="44" t="inlineStr">
        <is>
          <t>ИТОГО (Сумма):</t>
        </is>
      </c>
      <c r="C140" s="45" t="n"/>
      <c r="D140" s="45" t="n"/>
      <c r="E140" s="46">
        <f>SUM(E133:E139)</f>
        <v/>
      </c>
      <c r="F140" s="47">
        <f>SUM(F133:F139)</f>
        <v/>
      </c>
      <c r="G140" s="48" t="inlineStr">
        <is>
          <t>N = 45 образцов; Σ(ni · tср.i) = 715 ч·шт</t>
        </is>
      </c>
    </row>
    <row r="142" ht="20" customHeight="1">
      <c r="B142" s="27" t="inlineStr">
        <is>
          <t>Таблица 2. Итоговый расчет среднего времени безотказной работы</t>
        </is>
      </c>
    </row>
    <row r="143" ht="24" customHeight="1">
      <c r="B143" s="35" t="inlineStr">
        <is>
          <t>Определяемый показатель</t>
        </is>
      </c>
      <c r="C143" s="35" t="inlineStr">
        <is>
          <t>Обозначение</t>
        </is>
      </c>
      <c r="D143" s="35" t="inlineStr">
        <is>
          <t>Математическая формула</t>
        </is>
      </c>
      <c r="E143" s="35" t="inlineStr">
        <is>
          <t>Значение (формула Excel)</t>
        </is>
      </c>
      <c r="F143" s="35" t="inlineStr">
        <is>
          <t>Ед. изм.</t>
        </is>
      </c>
      <c r="G143" s="35" t="inlineStr">
        <is>
          <t>Пояснение к результату</t>
        </is>
      </c>
    </row>
    <row r="144" ht="22" customHeight="1">
      <c r="B144" s="29" t="inlineStr">
        <is>
          <t>Суммарное время наработки выборки</t>
        </is>
      </c>
      <c r="C144" s="30" t="inlineStr">
        <is>
          <t>Σ(ni·tср.i)</t>
        </is>
      </c>
      <c r="D144" s="36">
        <f>F140</f>
        <v/>
      </c>
      <c r="E144" s="49">
        <f>F140</f>
        <v/>
      </c>
      <c r="F144" s="32" t="inlineStr">
        <is>
          <t>ч·шт</t>
        </is>
      </c>
      <c r="G144" s="33" t="inlineStr">
        <is>
          <t>Числитель формулы (1.6)</t>
        </is>
      </c>
    </row>
    <row r="145" ht="22" customHeight="1">
      <c r="B145" s="29" t="inlineStr">
        <is>
          <t>Общее число образцов (объем выборки)</t>
        </is>
      </c>
      <c r="C145" s="30" t="inlineStr">
        <is>
          <t>N</t>
        </is>
      </c>
      <c r="D145" s="36">
        <f>E140</f>
        <v/>
      </c>
      <c r="E145" s="50">
        <f>E140</f>
        <v/>
      </c>
      <c r="F145" s="32" t="inlineStr">
        <is>
          <t>шт.</t>
        </is>
      </c>
      <c r="G145" s="33" t="inlineStr">
        <is>
          <t>Знаменатель формулы (1.6)</t>
        </is>
      </c>
    </row>
    <row r="146" ht="22" customHeight="1">
      <c r="B146" s="29" t="inlineStr">
        <is>
          <t>Среднее время безотказной работы (после приработки)</t>
        </is>
      </c>
      <c r="C146" s="30" t="inlineStr">
        <is>
          <t>mt*</t>
        </is>
      </c>
      <c r="D146" s="36" t="inlineStr">
        <is>
          <t>Σ(ni·tср.i) / N</t>
        </is>
      </c>
      <c r="E146" s="23">
        <f>F140/E140</f>
        <v/>
      </c>
      <c r="F146" s="32" t="inlineStr">
        <is>
          <t>ч</t>
        </is>
      </c>
      <c r="G146" s="33" t="inlineStr">
        <is>
          <t>mt* = 715 / 45 ≈ 15.8889 ч</t>
        </is>
      </c>
    </row>
    <row r="147" ht="22" customHeight="1">
      <c r="B147" s="29" t="inlineStr">
        <is>
          <t>Полное среднее время с учетом приработки (80 ч)</t>
        </is>
      </c>
      <c r="C147" s="30" t="inlineStr">
        <is>
          <t>T_полн*</t>
        </is>
      </c>
      <c r="D147" s="36" t="inlineStr">
        <is>
          <t>t_прир + mt*</t>
        </is>
      </c>
      <c r="E147" s="23">
        <f>80+F140/E140</f>
        <v/>
      </c>
      <c r="F147" s="32" t="inlineStr">
        <is>
          <t>ч</t>
        </is>
      </c>
      <c r="G147" s="33" t="inlineStr">
        <is>
          <t>T = 80 + 15.89 = 95.89 ч</t>
        </is>
      </c>
    </row>
    <row r="148" ht="24" customHeight="1">
      <c r="B148" s="38" t="inlineStr">
        <is>
          <t>ВЫВОД / ОТВЕТ: Статистическая оценка среднего времени безотказной работы образцов после приработки составляет mt* = 15,89 ч (суммарное с учетом 80 ч приработки — 95,89 ч).</t>
        </is>
      </c>
      <c r="C148" s="39" t="n"/>
      <c r="D148" s="39" t="n"/>
      <c r="E148" s="39" t="n"/>
      <c r="F148" s="39" t="n"/>
      <c r="G148" s="39" t="n"/>
    </row>
    <row r="151" ht="24" customHeight="1">
      <c r="B151" s="40" t="inlineStr">
        <is>
          <t>ЗАДАЧА № 13. Статистическая оценка среднего времени безотказной работы mt* и дисперсии Dt* по индивидуальным наработкам</t>
        </is>
      </c>
      <c r="C151" s="2" t="n"/>
      <c r="D151" s="2" t="n"/>
      <c r="E151" s="2" t="n"/>
      <c r="F151" s="2" t="n"/>
      <c r="G151" s="2" t="n"/>
    </row>
    <row r="152" ht="18" customHeight="1">
      <c r="B152" s="25" t="inlineStr">
        <is>
          <t>Условие: На испытание поставлено 8 однотипных изделий. Получены следующие значения (ti – время безотказной работы i-го изделия): t1 = 560 ч; t2 = 700 ч; t3 = 800 ч; t4 = 650 ч; t5 = 580 ч; t6 = 760 ч; t7 = 920 ч; t8 = 850 ч. Определить статистическую оценку среднего времени безотказной работы изделия.</t>
        </is>
      </c>
      <c r="C152" s="26" t="n"/>
      <c r="D152" s="26" t="n"/>
      <c r="E152" s="26" t="n"/>
      <c r="F152" s="26" t="n"/>
      <c r="G152" s="26" t="n"/>
    </row>
    <row r="153" ht="18" customHeight="1">
      <c r="B153" s="26" t="n"/>
      <c r="C153" s="26" t="n"/>
      <c r="D153" s="26" t="n"/>
      <c r="E153" s="26" t="n"/>
      <c r="F153" s="26" t="n"/>
      <c r="G153" s="26" t="n"/>
    </row>
    <row r="154" ht="20" customHeight="1">
      <c r="B154" s="27" t="inlineStr">
        <is>
          <t>Таблица 1. Индивидуальные наработки изделий и квадраты отклонений</t>
        </is>
      </c>
    </row>
    <row r="155" ht="25" customHeight="1">
      <c r="B155" s="7" t="inlineStr">
        <is>
          <t>№ изделия (i)</t>
        </is>
      </c>
      <c r="C155" s="7" t="inlineStr">
        <is>
          <t>Обозначение</t>
        </is>
      </c>
      <c r="D155" s="7" t="inlineStr">
        <is>
          <t>Время безотказной работы ti, ч</t>
        </is>
      </c>
      <c r="E155" s="7" t="inlineStr">
        <is>
          <t>Отклонение (ti - mt*), ч</t>
        </is>
      </c>
      <c r="F155" s="7" t="inlineStr">
        <is>
          <t>Квадрат отклонения (ti - mt*)^2, ч^2</t>
        </is>
      </c>
      <c r="G155" s="7" t="inlineStr">
        <is>
          <t>Пояснение</t>
        </is>
      </c>
    </row>
    <row r="156" ht="20" customHeight="1">
      <c r="B156" s="32" t="n">
        <v>1</v>
      </c>
      <c r="C156" s="30" t="inlineStr">
        <is>
          <t>t1</t>
        </is>
      </c>
      <c r="D156" s="43" t="n">
        <v>560</v>
      </c>
      <c r="E156" s="51">
        <f>D156-$E$169</f>
        <v/>
      </c>
      <c r="F156" s="52">
        <f>E156^2</f>
        <v/>
      </c>
      <c r="G156" s="33" t="inlineStr">
        <is>
          <t>Изделие № 1</t>
        </is>
      </c>
    </row>
    <row r="157" ht="20" customHeight="1">
      <c r="B157" s="32" t="n">
        <v>2</v>
      </c>
      <c r="C157" s="30" t="inlineStr">
        <is>
          <t>t2</t>
        </is>
      </c>
      <c r="D157" s="43" t="n">
        <v>700</v>
      </c>
      <c r="E157" s="51">
        <f>D157-$E$169</f>
        <v/>
      </c>
      <c r="F157" s="52">
        <f>E157^2</f>
        <v/>
      </c>
      <c r="G157" s="33" t="inlineStr">
        <is>
          <t>Изделие № 2</t>
        </is>
      </c>
    </row>
    <row r="158" ht="20" customHeight="1">
      <c r="B158" s="32" t="n">
        <v>3</v>
      </c>
      <c r="C158" s="30" t="inlineStr">
        <is>
          <t>t3</t>
        </is>
      </c>
      <c r="D158" s="43" t="n">
        <v>800</v>
      </c>
      <c r="E158" s="51">
        <f>D158-$E$169</f>
        <v/>
      </c>
      <c r="F158" s="52">
        <f>E158^2</f>
        <v/>
      </c>
      <c r="G158" s="33" t="inlineStr">
        <is>
          <t>Изделие № 3</t>
        </is>
      </c>
    </row>
    <row r="159" ht="20" customHeight="1">
      <c r="B159" s="32" t="n">
        <v>4</v>
      </c>
      <c r="C159" s="30" t="inlineStr">
        <is>
          <t>t4</t>
        </is>
      </c>
      <c r="D159" s="43" t="n">
        <v>650</v>
      </c>
      <c r="E159" s="51">
        <f>D159-$E$169</f>
        <v/>
      </c>
      <c r="F159" s="52">
        <f>E159^2</f>
        <v/>
      </c>
      <c r="G159" s="33" t="inlineStr">
        <is>
          <t>Изделие № 4</t>
        </is>
      </c>
    </row>
    <row r="160" ht="20" customHeight="1">
      <c r="B160" s="32" t="n">
        <v>5</v>
      </c>
      <c r="C160" s="30" t="inlineStr">
        <is>
          <t>t5</t>
        </is>
      </c>
      <c r="D160" s="43" t="n">
        <v>580</v>
      </c>
      <c r="E160" s="51">
        <f>D160-$E$169</f>
        <v/>
      </c>
      <c r="F160" s="52">
        <f>E160^2</f>
        <v/>
      </c>
      <c r="G160" s="33" t="inlineStr">
        <is>
          <t>Изделие № 5</t>
        </is>
      </c>
    </row>
    <row r="161" ht="20" customHeight="1">
      <c r="B161" s="32" t="n">
        <v>6</v>
      </c>
      <c r="C161" s="30" t="inlineStr">
        <is>
          <t>t6</t>
        </is>
      </c>
      <c r="D161" s="43" t="n">
        <v>760</v>
      </c>
      <c r="E161" s="51">
        <f>D161-$E$169</f>
        <v/>
      </c>
      <c r="F161" s="52">
        <f>E161^2</f>
        <v/>
      </c>
      <c r="G161" s="33" t="inlineStr">
        <is>
          <t>Изделие № 6</t>
        </is>
      </c>
    </row>
    <row r="162" ht="20" customHeight="1">
      <c r="B162" s="32" t="n">
        <v>7</v>
      </c>
      <c r="C162" s="30" t="inlineStr">
        <is>
          <t>t7</t>
        </is>
      </c>
      <c r="D162" s="43" t="n">
        <v>920</v>
      </c>
      <c r="E162" s="51">
        <f>D162-$E$169</f>
        <v/>
      </c>
      <c r="F162" s="52">
        <f>E162^2</f>
        <v/>
      </c>
      <c r="G162" s="33" t="inlineStr">
        <is>
          <t>Изделие № 7</t>
        </is>
      </c>
    </row>
    <row r="163" ht="20" customHeight="1">
      <c r="B163" s="32" t="n">
        <v>8</v>
      </c>
      <c r="C163" s="30" t="inlineStr">
        <is>
          <t>t8</t>
        </is>
      </c>
      <c r="D163" s="43" t="n">
        <v>850</v>
      </c>
      <c r="E163" s="51">
        <f>D163-$E$169</f>
        <v/>
      </c>
      <c r="F163" s="52">
        <f>E163^2</f>
        <v/>
      </c>
      <c r="G163" s="33" t="inlineStr">
        <is>
          <t>Изделие № 8</t>
        </is>
      </c>
    </row>
    <row r="164" ht="22" customHeight="1">
      <c r="B164" s="44" t="inlineStr">
        <is>
          <t>ИТОГО (Сумма Σti):</t>
        </is>
      </c>
      <c r="C164" s="45" t="n"/>
      <c r="D164" s="47">
        <f>SUM(D156:D163)</f>
        <v/>
      </c>
      <c r="E164" s="53">
        <f>SUM(E156:E163)</f>
        <v/>
      </c>
      <c r="F164" s="54">
        <f>SUM(F156:F163)</f>
        <v/>
      </c>
      <c r="G164" s="48" t="inlineStr">
        <is>
          <t>Σti = 5820 ч; сумма отклонений = 0</t>
        </is>
      </c>
    </row>
    <row r="166" ht="20" customHeight="1">
      <c r="B166" s="27" t="inlineStr">
        <is>
          <t>Таблица 2. Статистические показатели надежности</t>
        </is>
      </c>
    </row>
    <row r="167" ht="24" customHeight="1">
      <c r="B167" s="35" t="inlineStr">
        <is>
          <t>Определяемый показатель</t>
        </is>
      </c>
      <c r="C167" s="35" t="inlineStr">
        <is>
          <t>Обозначение</t>
        </is>
      </c>
      <c r="D167" s="35" t="inlineStr">
        <is>
          <t>Математическая формула</t>
        </is>
      </c>
      <c r="E167" s="35" t="inlineStr">
        <is>
          <t>Значение (формула Excel)</t>
        </is>
      </c>
      <c r="F167" s="35" t="inlineStr">
        <is>
          <t>Ед. изм.</t>
        </is>
      </c>
      <c r="G167" s="35" t="inlineStr">
        <is>
          <t>Пояснение к результату</t>
        </is>
      </c>
    </row>
    <row r="168" ht="22" customHeight="1">
      <c r="B168" s="29" t="inlineStr">
        <is>
          <t>Общее число испытанных изделий</t>
        </is>
      </c>
      <c r="C168" s="30" t="inlineStr">
        <is>
          <t>N</t>
        </is>
      </c>
      <c r="D168" s="36">
        <f>COUNT(D156:D163)</f>
        <v/>
      </c>
      <c r="E168" s="37">
        <f>COUNT(D156:D163)</f>
        <v/>
      </c>
      <c r="F168" s="32" t="inlineStr">
        <is>
          <t>шт.</t>
        </is>
      </c>
      <c r="G168" s="33" t="inlineStr">
        <is>
          <t>Объем выборки N = 8</t>
        </is>
      </c>
    </row>
    <row r="169" ht="22" customHeight="1">
      <c r="B169" s="29" t="inlineStr">
        <is>
          <t>Среднее время безотказной работы (Формула 1.5)</t>
        </is>
      </c>
      <c r="C169" s="30" t="inlineStr">
        <is>
          <t>mt*</t>
        </is>
      </c>
      <c r="D169" s="36" t="inlineStr">
        <is>
          <t>Σti / N = AVERAGE(D156:D163)</t>
        </is>
      </c>
      <c r="E169" s="23">
        <f>AVERAGE(D156:D163)</f>
        <v/>
      </c>
      <c r="F169" s="32" t="inlineStr">
        <is>
          <t>ч</t>
        </is>
      </c>
      <c r="G169" s="33" t="inlineStr">
        <is>
          <t>mt* = 5820 / 8 = 727.50 ч</t>
        </is>
      </c>
    </row>
    <row r="170" ht="22" customHeight="1">
      <c r="B170" s="29" t="inlineStr">
        <is>
          <t>Дисперсия наработки (Формула 1.7)</t>
        </is>
      </c>
      <c r="C170" s="30" t="inlineStr">
        <is>
          <t>Dt*</t>
        </is>
      </c>
      <c r="D170" s="36" t="inlineStr">
        <is>
          <t>Σ(ti-mt)^2 / (N-1) = VAR.S(...)</t>
        </is>
      </c>
      <c r="E170" s="23">
        <f>VAR.S(D156:D163)</f>
        <v/>
      </c>
      <c r="F170" s="32" t="inlineStr">
        <is>
          <t>ч^2</t>
        </is>
      </c>
      <c r="G170" s="33" t="inlineStr">
        <is>
          <t>Выборочная дисперсия времени работы</t>
        </is>
      </c>
    </row>
    <row r="171" ht="22" customHeight="1">
      <c r="B171" s="29" t="inlineStr">
        <is>
          <t>Среднеквадратическое отклонение (СКО)</t>
        </is>
      </c>
      <c r="C171" s="30" t="inlineStr">
        <is>
          <t>σt</t>
        </is>
      </c>
      <c r="D171" s="36" t="inlineStr">
        <is>
          <t>SQRT(Dt*) = STDEV.S(...)</t>
        </is>
      </c>
      <c r="E171" s="23">
        <f>STDEV.S(D156:D163)</f>
        <v/>
      </c>
      <c r="F171" s="32" t="inlineStr">
        <is>
          <t>ч</t>
        </is>
      </c>
      <c r="G171" s="33" t="inlineStr">
        <is>
          <t>Стандартное отклонение наработки</t>
        </is>
      </c>
    </row>
    <row r="172" ht="22" customHeight="1">
      <c r="B172" s="29" t="inlineStr">
        <is>
          <t>Коэффициент вариации</t>
        </is>
      </c>
      <c r="C172" s="30" t="inlineStr">
        <is>
          <t>V</t>
        </is>
      </c>
      <c r="D172" s="36" t="inlineStr">
        <is>
          <t>σt / mt*</t>
        </is>
      </c>
      <c r="E172" s="21">
        <f>E171/E169</f>
        <v/>
      </c>
      <c r="F172" s="32" t="inlineStr">
        <is>
          <t>—</t>
        </is>
      </c>
      <c r="G172" s="33" t="inlineStr">
        <is>
          <t>V = 127.70 / 727.50 ≈ 0.1755 (17.55%)</t>
        </is>
      </c>
    </row>
    <row r="173" ht="24" customHeight="1">
      <c r="B173" s="38" t="inlineStr">
        <is>
          <t>ВЫВОД / ОТВЕТ: Статистическая оценка среднего времени безотказной работы mt* = 727,50 ч. Выборочная дисперсия Dt* = 16307,14 ч², СКО σt = 127,70 ч.</t>
        </is>
      </c>
      <c r="C173" s="39" t="n"/>
      <c r="D173" s="39" t="n"/>
      <c r="E173" s="39" t="n"/>
      <c r="F173" s="39" t="n"/>
      <c r="G173" s="39" t="n"/>
    </row>
    <row r="176" ht="24" customHeight="1">
      <c r="B176" s="40" t="inlineStr">
        <is>
          <t>ЗАДАЧА № 14. Расчет среднего времени восстановления аппаратуры mt (m_в)</t>
        </is>
      </c>
      <c r="C176" s="2" t="n"/>
      <c r="D176" s="2" t="n"/>
      <c r="E176" s="2" t="n"/>
      <c r="F176" s="2" t="n"/>
      <c r="G176" s="2" t="n"/>
    </row>
    <row r="177" ht="18" customHeight="1">
      <c r="B177" s="25" t="inlineStr">
        <is>
          <t>Условие: За наблюдаемый период эксплуатации в аппаратуре было зарегистрировано 6 отказов. Время восстановления составило: t1 = 15 мин.; t2 = 20 мин.; t3 = 10 мин.; t4 = 28 мин.; t5 = 22 мин.; t6 = 30 мин. Требуется определить среднее время восстановления аппаратуры mt.</t>
        </is>
      </c>
      <c r="C177" s="26" t="n"/>
      <c r="D177" s="26" t="n"/>
      <c r="E177" s="26" t="n"/>
      <c r="F177" s="26" t="n"/>
      <c r="G177" s="26" t="n"/>
    </row>
    <row r="178" ht="18" customHeight="1">
      <c r="B178" s="26" t="n"/>
      <c r="C178" s="26" t="n"/>
      <c r="D178" s="26" t="n"/>
      <c r="E178" s="26" t="n"/>
      <c r="F178" s="26" t="n"/>
      <c r="G178" s="26" t="n"/>
    </row>
    <row r="179" ht="20" customHeight="1">
      <c r="B179" s="27" t="inlineStr">
        <is>
          <t>Таблица 1. Данные по времени восстановления при отказах</t>
        </is>
      </c>
    </row>
    <row r="180" ht="25" customHeight="1">
      <c r="B180" s="7" t="inlineStr">
        <is>
          <t>№ отказа (i)</t>
        </is>
      </c>
      <c r="C180" s="7" t="inlineStr">
        <is>
          <t>Обозначение</t>
        </is>
      </c>
      <c r="D180" s="7" t="inlineStr">
        <is>
          <t>Время восстановления tв.i, мин</t>
        </is>
      </c>
      <c r="E180" s="7" t="inlineStr">
        <is>
          <t>Время восстановления, ч</t>
        </is>
      </c>
      <c r="F180" s="7" t="inlineStr">
        <is>
          <t>Пояснение</t>
        </is>
      </c>
    </row>
    <row r="181" ht="20" customHeight="1">
      <c r="B181" s="32" t="n">
        <v>1</v>
      </c>
      <c r="C181" s="30" t="inlineStr">
        <is>
          <t>t1</t>
        </is>
      </c>
      <c r="D181" s="55" t="n">
        <v>15</v>
      </c>
      <c r="E181" s="51">
        <f>D181/60</f>
        <v/>
      </c>
      <c r="F181" s="33" t="inlineStr">
        <is>
          <t>Отказ № 1</t>
        </is>
      </c>
    </row>
    <row r="182" ht="20" customHeight="1">
      <c r="B182" s="32" t="n">
        <v>2</v>
      </c>
      <c r="C182" s="30" t="inlineStr">
        <is>
          <t>t2</t>
        </is>
      </c>
      <c r="D182" s="55" t="n">
        <v>20</v>
      </c>
      <c r="E182" s="51">
        <f>D182/60</f>
        <v/>
      </c>
      <c r="F182" s="33" t="inlineStr">
        <is>
          <t>Отказ № 2</t>
        </is>
      </c>
    </row>
    <row r="183" ht="20" customHeight="1">
      <c r="B183" s="32" t="n">
        <v>3</v>
      </c>
      <c r="C183" s="30" t="inlineStr">
        <is>
          <t>t3</t>
        </is>
      </c>
      <c r="D183" s="55" t="n">
        <v>10</v>
      </c>
      <c r="E183" s="51">
        <f>D183/60</f>
        <v/>
      </c>
      <c r="F183" s="33" t="inlineStr">
        <is>
          <t>Отказ № 3</t>
        </is>
      </c>
    </row>
    <row r="184" ht="20" customHeight="1">
      <c r="B184" s="32" t="n">
        <v>4</v>
      </c>
      <c r="C184" s="30" t="inlineStr">
        <is>
          <t>t4</t>
        </is>
      </c>
      <c r="D184" s="55" t="n">
        <v>28</v>
      </c>
      <c r="E184" s="51">
        <f>D184/60</f>
        <v/>
      </c>
      <c r="F184" s="33" t="inlineStr">
        <is>
          <t>Отказ № 4</t>
        </is>
      </c>
    </row>
    <row r="185" ht="20" customHeight="1">
      <c r="B185" s="32" t="n">
        <v>5</v>
      </c>
      <c r="C185" s="30" t="inlineStr">
        <is>
          <t>t5</t>
        </is>
      </c>
      <c r="D185" s="55" t="n">
        <v>22</v>
      </c>
      <c r="E185" s="51">
        <f>D185/60</f>
        <v/>
      </c>
      <c r="F185" s="33" t="inlineStr">
        <is>
          <t>Отказ № 5</t>
        </is>
      </c>
    </row>
    <row r="186" ht="20" customHeight="1">
      <c r="B186" s="32" t="n">
        <v>6</v>
      </c>
      <c r="C186" s="30" t="inlineStr">
        <is>
          <t>t6</t>
        </is>
      </c>
      <c r="D186" s="55" t="n">
        <v>30</v>
      </c>
      <c r="E186" s="51">
        <f>D186/60</f>
        <v/>
      </c>
      <c r="F186" s="33" t="inlineStr">
        <is>
          <t>Отказ № 6</t>
        </is>
      </c>
    </row>
    <row r="187" ht="22" customHeight="1">
      <c r="B187" s="44" t="inlineStr">
        <is>
          <t>ИТОГО (Суммарное время):</t>
        </is>
      </c>
      <c r="C187" s="45" t="n"/>
      <c r="D187" s="56">
        <f>SUM(D181:D186)</f>
        <v/>
      </c>
      <c r="E187" s="57">
        <f>SUM(E181:E186)</f>
        <v/>
      </c>
      <c r="F187" s="48" t="inlineStr">
        <is>
          <t>Сумма времени восстановления: 125 мин (2.08 ч)</t>
        </is>
      </c>
    </row>
    <row r="189" ht="20" customHeight="1">
      <c r="B189" s="27" t="inlineStr">
        <is>
          <t>Таблица 2. Расчет среднего времени восстановления</t>
        </is>
      </c>
    </row>
    <row r="190" ht="24" customHeight="1">
      <c r="B190" s="35" t="inlineStr">
        <is>
          <t>Определяемый показатель</t>
        </is>
      </c>
      <c r="C190" s="35" t="inlineStr">
        <is>
          <t>Обозначение</t>
        </is>
      </c>
      <c r="D190" s="35" t="inlineStr">
        <is>
          <t>Математическая формула</t>
        </is>
      </c>
      <c r="E190" s="35" t="inlineStr">
        <is>
          <t>Значение (формула Excel)</t>
        </is>
      </c>
      <c r="F190" s="35" t="inlineStr">
        <is>
          <t>Ед. изм.</t>
        </is>
      </c>
      <c r="G190" s="35" t="inlineStr">
        <is>
          <t>Пояснение к результату</t>
        </is>
      </c>
    </row>
    <row r="191" ht="22" customHeight="1">
      <c r="B191" s="29" t="inlineStr">
        <is>
          <t>Число зафиксированных отказов</t>
        </is>
      </c>
      <c r="C191" s="30" t="inlineStr">
        <is>
          <t>N</t>
        </is>
      </c>
      <c r="D191" s="36">
        <f>COUNT(D181:D186)</f>
        <v/>
      </c>
      <c r="E191" s="37">
        <f>COUNT(D181:D186)</f>
        <v/>
      </c>
      <c r="F191" s="32" t="inlineStr">
        <is>
          <t>отказов</t>
        </is>
      </c>
      <c r="G191" s="33" t="inlineStr">
        <is>
          <t>Число ремонтов N = 6</t>
        </is>
      </c>
    </row>
    <row r="192" ht="22" customHeight="1">
      <c r="B192" s="29" t="inlineStr">
        <is>
          <t>Среднее время восстановления (минуты)</t>
        </is>
      </c>
      <c r="C192" s="30" t="inlineStr">
        <is>
          <t>mt_мин</t>
        </is>
      </c>
      <c r="D192" s="36" t="inlineStr">
        <is>
          <t>Σtв.i / N = AVERAGE(D181:D186)</t>
        </is>
      </c>
      <c r="E192" s="23">
        <f>AVERAGE(D181:D186)</f>
        <v/>
      </c>
      <c r="F192" s="32" t="inlineStr">
        <is>
          <t>мин</t>
        </is>
      </c>
      <c r="G192" s="33" t="inlineStr">
        <is>
          <t>m_в = 125 / 6 = 20.83 мин</t>
        </is>
      </c>
    </row>
    <row r="193" ht="22" customHeight="1">
      <c r="B193" s="29" t="inlineStr">
        <is>
          <t>Среднее время восстановления (часы)</t>
        </is>
      </c>
      <c r="C193" s="30" t="inlineStr">
        <is>
          <t>mt_ч</t>
        </is>
      </c>
      <c r="D193" s="36" t="inlineStr">
        <is>
          <t>m_в(мин) / 60</t>
        </is>
      </c>
      <c r="E193" s="21">
        <f>AVERAGE(E181:E186)</f>
        <v/>
      </c>
      <c r="F193" s="32" t="inlineStr">
        <is>
          <t>ч</t>
        </is>
      </c>
      <c r="G193" s="33" t="inlineStr">
        <is>
          <t>m_в = 20.83 / 60 ≈ 0.347 ч</t>
        </is>
      </c>
    </row>
    <row r="194" ht="24" customHeight="1">
      <c r="B194" s="38" t="inlineStr">
        <is>
          <t>ВЫВОД / ОТВЕТ: Среднее время восстановления аппаратуры составляет mt (m_в) = 20,83 мин (или 0,347 ч).</t>
        </is>
      </c>
      <c r="C194" s="39" t="n"/>
      <c r="D194" s="39" t="n"/>
      <c r="E194" s="39" t="n"/>
      <c r="F194" s="39" t="n"/>
      <c r="G194" s="39" t="n"/>
    </row>
    <row r="197" ht="24" customHeight="1">
      <c r="B197" s="24" t="inlineStr">
        <is>
          <t>ЗАДАЧА № 15. Определение p(11000), p(12000), f(11000), λ(11000) для партии 1000 изделий</t>
        </is>
      </c>
      <c r="C197" s="2" t="n"/>
      <c r="D197" s="2" t="n"/>
      <c r="E197" s="2" t="n"/>
      <c r="F197" s="2" t="n"/>
      <c r="G197" s="2" t="n"/>
    </row>
    <row r="198" ht="18" customHeight="1">
      <c r="B198" s="25" t="inlineStr">
        <is>
          <t>Условие: На испытание поставлено 1000 изделий. За время t = 11000 ч. вышло из строя 410 изделий. За последующий интервал времени 11000 – 12000 часов вышло из строя еще 40 изделий. Необходимо вычислить p(t) при t = 11000 ч. и t = 12000 ч., а также f(t), λ(t) при t = 11000 ч.</t>
        </is>
      </c>
      <c r="C198" s="26" t="n"/>
      <c r="D198" s="26" t="n"/>
      <c r="E198" s="26" t="n"/>
      <c r="F198" s="26" t="n"/>
      <c r="G198" s="26" t="n"/>
    </row>
    <row r="199" ht="18" customHeight="1">
      <c r="B199" s="26" t="n"/>
      <c r="C199" s="26" t="n"/>
      <c r="D199" s="26" t="n"/>
      <c r="E199" s="26" t="n"/>
      <c r="F199" s="26" t="n"/>
      <c r="G199" s="26" t="n"/>
    </row>
    <row r="200" ht="20" customHeight="1">
      <c r="B200" s="27" t="inlineStr">
        <is>
          <t>Таблица 1. Исходные данные задачи</t>
        </is>
      </c>
    </row>
    <row r="201" ht="22" customHeight="1">
      <c r="B201" s="28" t="inlineStr">
        <is>
          <t>Наименование параметра</t>
        </is>
      </c>
      <c r="C201" s="28" t="inlineStr">
        <is>
          <t>Обозначение</t>
        </is>
      </c>
      <c r="D201" s="28" t="inlineStr">
        <is>
          <t>Значение</t>
        </is>
      </c>
      <c r="E201" s="28" t="inlineStr">
        <is>
          <t>Ед. изм.</t>
        </is>
      </c>
      <c r="F201" s="28" t="inlineStr">
        <is>
          <t>Пояснение</t>
        </is>
      </c>
    </row>
    <row r="202" ht="20" customHeight="1">
      <c r="B202" s="29" t="inlineStr">
        <is>
          <t>Общее число изделий</t>
        </is>
      </c>
      <c r="C202" s="30" t="inlineStr">
        <is>
          <t>N</t>
        </is>
      </c>
      <c r="D202" s="31" t="n">
        <v>1000</v>
      </c>
      <c r="E202" s="32" t="inlineStr">
        <is>
          <t>шт.</t>
        </is>
      </c>
      <c r="F202" s="33" t="inlineStr">
        <is>
          <t>Испытуемая партия изделий</t>
        </is>
      </c>
    </row>
    <row r="203" ht="20" customHeight="1">
      <c r="B203" s="29" t="inlineStr">
        <is>
          <t>Время наработки t1</t>
        </is>
      </c>
      <c r="C203" s="30" t="inlineStr">
        <is>
          <t>t1</t>
        </is>
      </c>
      <c r="D203" s="31" t="n">
        <v>11000</v>
      </c>
      <c r="E203" s="32" t="inlineStr">
        <is>
          <t>ч</t>
        </is>
      </c>
      <c r="F203" s="33" t="inlineStr">
        <is>
          <t>Первая контрольная точка</t>
        </is>
      </c>
    </row>
    <row r="204" ht="20" customHeight="1">
      <c r="B204" s="29" t="inlineStr">
        <is>
          <t>Число отказов к моменту t1</t>
        </is>
      </c>
      <c r="C204" s="30" t="inlineStr">
        <is>
          <t>n_отк1</t>
        </is>
      </c>
      <c r="D204" s="31" t="n">
        <v>410</v>
      </c>
      <c r="E204" s="32" t="inlineStr">
        <is>
          <t>шт.</t>
        </is>
      </c>
      <c r="F204" s="33" t="inlineStr">
        <is>
          <t>Отказы за 11000 ч</t>
        </is>
      </c>
    </row>
    <row r="205" ht="20" customHeight="1">
      <c r="B205" s="29" t="inlineStr">
        <is>
          <t>Время наработки t2</t>
        </is>
      </c>
      <c r="C205" s="30" t="inlineStr">
        <is>
          <t>t2</t>
        </is>
      </c>
      <c r="D205" s="31" t="n">
        <v>12000</v>
      </c>
      <c r="E205" s="32" t="inlineStr">
        <is>
          <t>ч</t>
        </is>
      </c>
      <c r="F205" s="33" t="inlineStr">
        <is>
          <t>Вторая контрольная точка</t>
        </is>
      </c>
    </row>
    <row r="206" ht="20" customHeight="1">
      <c r="B206" s="29" t="inlineStr">
        <is>
          <t>Интервал времени</t>
        </is>
      </c>
      <c r="C206" s="30" t="inlineStr">
        <is>
          <t>dt</t>
        </is>
      </c>
      <c r="D206" s="34">
        <f>D205-D203</f>
        <v/>
      </c>
      <c r="E206" s="32" t="inlineStr">
        <is>
          <t>ч</t>
        </is>
      </c>
      <c r="F206" s="33" t="inlineStr">
        <is>
          <t>Δt = 12000 - 11000 = 1000 ч</t>
        </is>
      </c>
    </row>
    <row r="207" ht="20" customHeight="1">
      <c r="B207" s="29" t="inlineStr">
        <is>
          <t>Число отказов в интервале (t1, t2)</t>
        </is>
      </c>
      <c r="C207" s="30" t="inlineStr">
        <is>
          <t>dn</t>
        </is>
      </c>
      <c r="D207" s="31" t="n">
        <v>40</v>
      </c>
      <c r="E207" s="32" t="inlineStr">
        <is>
          <t>шт.</t>
        </is>
      </c>
      <c r="F207" s="33" t="inlineStr">
        <is>
          <t>Отказы за интервал 11000-12000 ч</t>
        </is>
      </c>
    </row>
    <row r="209" ht="20" customHeight="1">
      <c r="B209" s="27" t="inlineStr">
        <is>
          <t>Таблица 2. Расчет показателей надежности</t>
        </is>
      </c>
    </row>
    <row r="210" ht="24" customHeight="1">
      <c r="B210" s="35" t="inlineStr">
        <is>
          <t>Определяемый показатель</t>
        </is>
      </c>
      <c r="C210" s="35" t="inlineStr">
        <is>
          <t>Обозначение</t>
        </is>
      </c>
      <c r="D210" s="35" t="inlineStr">
        <is>
          <t>Математическая формула</t>
        </is>
      </c>
      <c r="E210" s="35" t="inlineStr">
        <is>
          <t>Значение (формула Excel)</t>
        </is>
      </c>
      <c r="F210" s="35" t="inlineStr">
        <is>
          <t>Ед. изм.</t>
        </is>
      </c>
      <c r="G210" s="35" t="inlineStr">
        <is>
          <t>Пояснение к результату</t>
        </is>
      </c>
    </row>
    <row r="211" ht="22" customHeight="1">
      <c r="B211" s="29" t="inlineStr">
        <is>
          <t>Число работоспособных при t=11000 ч</t>
        </is>
      </c>
      <c r="C211" s="30" t="inlineStr">
        <is>
          <t>nt1</t>
        </is>
      </c>
      <c r="D211" s="36" t="inlineStr">
        <is>
          <t>N - n_отк(11000)</t>
        </is>
      </c>
      <c r="E211" s="37">
        <f>D202-D204</f>
        <v/>
      </c>
      <c r="F211" s="32" t="inlineStr">
        <is>
          <t>шт.</t>
        </is>
      </c>
      <c r="G211" s="33" t="inlineStr">
        <is>
          <t>n(11000) = 1000 - 410 = 590 шт.</t>
        </is>
      </c>
    </row>
    <row r="212" ht="22" customHeight="1">
      <c r="B212" s="29" t="inlineStr">
        <is>
          <t>Число работоспособных при t=12000 ч</t>
        </is>
      </c>
      <c r="C212" s="30" t="inlineStr">
        <is>
          <t>nt2</t>
        </is>
      </c>
      <c r="D212" s="36" t="inlineStr">
        <is>
          <t>n(11000) - Δn</t>
        </is>
      </c>
      <c r="E212" s="37">
        <f>E211-D207</f>
        <v/>
      </c>
      <c r="F212" s="32" t="inlineStr">
        <is>
          <t>шт.</t>
        </is>
      </c>
      <c r="G212" s="33" t="inlineStr">
        <is>
          <t>n(12000) = 590 - 40 = 550 шт.</t>
        </is>
      </c>
    </row>
    <row r="213" ht="22" customHeight="1">
      <c r="B213" s="29" t="inlineStr">
        <is>
          <t>Вероятность безотказной работы p(11000)</t>
        </is>
      </c>
      <c r="C213" s="30" t="inlineStr">
        <is>
          <t>p_11000</t>
        </is>
      </c>
      <c r="D213" s="36" t="inlineStr">
        <is>
          <t>n(11000) / N</t>
        </is>
      </c>
      <c r="E213" s="21">
        <f>E211/D202</f>
        <v/>
      </c>
      <c r="F213" s="32" t="inlineStr">
        <is>
          <t>—</t>
        </is>
      </c>
      <c r="G213" s="33" t="inlineStr">
        <is>
          <t>p(11000) = 590 / 1000 = 0.5900 (59.0%)</t>
        </is>
      </c>
    </row>
    <row r="214" ht="22" customHeight="1">
      <c r="B214" s="29" t="inlineStr">
        <is>
          <t>Вероятность безотказной работы p(12000)</t>
        </is>
      </c>
      <c r="C214" s="30" t="inlineStr">
        <is>
          <t>p_12000</t>
        </is>
      </c>
      <c r="D214" s="36" t="inlineStr">
        <is>
          <t>n(12000) / N</t>
        </is>
      </c>
      <c r="E214" s="21">
        <f>E212/D202</f>
        <v/>
      </c>
      <c r="F214" s="32" t="inlineStr">
        <is>
          <t>—</t>
        </is>
      </c>
      <c r="G214" s="33" t="inlineStr">
        <is>
          <t>p(12000) = 550 / 1000 = 0.5500 (55.0%)</t>
        </is>
      </c>
    </row>
    <row r="215" ht="22" customHeight="1">
      <c r="B215" s="29" t="inlineStr">
        <is>
          <t>Частота отказов f(11000)</t>
        </is>
      </c>
      <c r="C215" s="30" t="inlineStr">
        <is>
          <t>f_11000</t>
        </is>
      </c>
      <c r="D215" s="36" t="inlineStr">
        <is>
          <t>Δn / (N · Δt)</t>
        </is>
      </c>
      <c r="E215" s="22">
        <f>D207/(D202*D206)</f>
        <v/>
      </c>
      <c r="F215" s="32" t="inlineStr">
        <is>
          <t>1/ч</t>
        </is>
      </c>
      <c r="G215" s="33" t="inlineStr">
        <is>
          <t>f(11000) = 40 / (1000 · 1000) = 0.000040 ч⁻¹</t>
        </is>
      </c>
    </row>
    <row r="216" ht="22" customHeight="1">
      <c r="B216" s="29" t="inlineStr">
        <is>
          <t>Интенсивность отказов λ(11000)</t>
        </is>
      </c>
      <c r="C216" s="30" t="inlineStr">
        <is>
          <t>l_11000</t>
        </is>
      </c>
      <c r="D216" s="36" t="inlineStr">
        <is>
          <t>Δn / (n(11000) · Δt)</t>
        </is>
      </c>
      <c r="E216" s="22">
        <f>D207/(E211*D206)</f>
        <v/>
      </c>
      <c r="F216" s="32" t="inlineStr">
        <is>
          <t>1/ч</t>
        </is>
      </c>
      <c r="G216" s="33" t="inlineStr">
        <is>
          <t>λ(11000) = 40 / (590 · 1000) ≈ 0.00006780 ч⁻¹</t>
        </is>
      </c>
    </row>
    <row r="217" ht="24" customHeight="1">
      <c r="B217" s="38" t="inlineStr">
        <is>
          <t>ВЫВОД / ОТВЕТ: Результаты: p(11000) = 0,5900; p(12000) = 0,5500; f(11000) = 4,00·10⁻⁵ 1/ч (0,000040 ч⁻¹); λ(11000) = 6,78·10⁻⁵ 1/ч (0,000068 ч⁻¹).</t>
        </is>
      </c>
      <c r="C217" s="39" t="n"/>
      <c r="D217" s="39" t="n"/>
      <c r="E217" s="39" t="n"/>
      <c r="F217" s="39" t="n"/>
      <c r="G217" s="39" t="n"/>
    </row>
  </sheetData>
  <mergeCells count="36">
    <mergeCell ref="B2:G2"/>
    <mergeCell ref="B151:G151"/>
    <mergeCell ref="B129:G130"/>
    <mergeCell ref="B60:G60"/>
    <mergeCell ref="B23:G23"/>
    <mergeCell ref="B148:G148"/>
    <mergeCell ref="B82:G82"/>
    <mergeCell ref="B7:G8"/>
    <mergeCell ref="B128:G128"/>
    <mergeCell ref="B217:G217"/>
    <mergeCell ref="B106:G107"/>
    <mergeCell ref="B27:G28"/>
    <mergeCell ref="B40:G40"/>
    <mergeCell ref="B152:G153"/>
    <mergeCell ref="B6:G6"/>
    <mergeCell ref="B63:G63"/>
    <mergeCell ref="B197:G197"/>
    <mergeCell ref="B79:G79"/>
    <mergeCell ref="B4:G4"/>
    <mergeCell ref="B26:G26"/>
    <mergeCell ref="B173:G173"/>
    <mergeCell ref="B187:C187"/>
    <mergeCell ref="B3:G3"/>
    <mergeCell ref="B194:G194"/>
    <mergeCell ref="B125:G125"/>
    <mergeCell ref="B140:D140"/>
    <mergeCell ref="B164:C164"/>
    <mergeCell ref="B177:G178"/>
    <mergeCell ref="B44:G45"/>
    <mergeCell ref="B102:G102"/>
    <mergeCell ref="B105:G105"/>
    <mergeCell ref="B43:G43"/>
    <mergeCell ref="B83:G84"/>
    <mergeCell ref="B198:G199"/>
    <mergeCell ref="B176:G176"/>
    <mergeCell ref="B64:G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13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40" customWidth="1" min="2" max="2"/>
    <col width="18" customWidth="1" min="3" max="3"/>
    <col width="34" customWidth="1" min="4" max="4"/>
    <col width="24" customWidth="1" min="5" max="5"/>
    <col width="12" customWidth="1" min="6" max="6"/>
    <col width="46" customWidth="1" min="7" max="7"/>
  </cols>
  <sheetData>
    <row r="2" ht="30" customHeight="1">
      <c r="B2" s="1" t="inlineStr">
        <is>
          <t>ТИПОВЫЕ ЗАДАЧИ С РЕШЕНИЕМ ИЗ ПРЕЗЕНТАЦИИ (№ 1 – 5)</t>
        </is>
      </c>
      <c r="C2" s="2" t="n"/>
      <c r="D2" s="2" t="n"/>
      <c r="E2" s="2" t="n"/>
      <c r="F2" s="2" t="n"/>
      <c r="G2" s="2" t="n"/>
    </row>
    <row r="3" ht="24" customHeight="1">
      <c r="B3" s="3" t="inlineStr">
        <is>
          <t>Практическая работа № 1. Примеры расчета показателей надежности с формулами Excel</t>
        </is>
      </c>
      <c r="C3" s="4" t="n"/>
      <c r="D3" s="4" t="n"/>
      <c r="E3" s="4" t="n"/>
      <c r="F3" s="4" t="n"/>
      <c r="G3" s="4" t="n"/>
    </row>
    <row r="4" ht="20" customHeight="1">
      <c r="B4" s="5" t="inlineStr">
        <is>
          <t>Полное соответствие слайдам 2-4 презентации лекций</t>
        </is>
      </c>
      <c r="C4" s="4" t="n"/>
      <c r="D4" s="4" t="n"/>
      <c r="E4" s="4" t="n"/>
      <c r="F4" s="4" t="n"/>
      <c r="G4" s="4" t="n"/>
    </row>
    <row r="6" ht="24" customHeight="1">
      <c r="B6" s="24" t="inlineStr">
        <is>
          <t>ЗАДАЧА № 1. Определение среднего времени безотказной работы системы из трех блоков</t>
        </is>
      </c>
      <c r="C6" s="2" t="n"/>
      <c r="D6" s="2" t="n"/>
      <c r="E6" s="2" t="n"/>
      <c r="F6" s="2" t="n"/>
      <c r="G6" s="2" t="n"/>
    </row>
    <row r="7" ht="18" customHeight="1">
      <c r="B7" s="25" t="inlineStr">
        <is>
          <t>Условие: Система состоит из трех блоков, среднее время безотказной работы которых равно: mt1 = 160 ч.; mt2 = 320 ч.; mt3 = 600 ч. Для блоков справедлив экспоненциальный закон надежности. Требуется определить среднее время безотказной работы системы mtc.</t>
        </is>
      </c>
      <c r="C7" s="26" t="n"/>
      <c r="D7" s="26" t="n"/>
      <c r="E7" s="26" t="n"/>
      <c r="F7" s="26" t="n"/>
      <c r="G7" s="26" t="n"/>
    </row>
    <row r="8" ht="18" customHeight="1">
      <c r="B8" s="26" t="n"/>
      <c r="C8" s="26" t="n"/>
      <c r="D8" s="26" t="n"/>
      <c r="E8" s="26" t="n"/>
      <c r="F8" s="26" t="n"/>
      <c r="G8" s="26" t="n"/>
    </row>
    <row r="9" ht="20" customHeight="1">
      <c r="B9" s="27" t="inlineStr">
        <is>
          <t>Таблица 1. Исходные данные задачи</t>
        </is>
      </c>
    </row>
    <row r="10" ht="22" customHeight="1">
      <c r="B10" s="28" t="inlineStr">
        <is>
          <t>Наименование параметра</t>
        </is>
      </c>
      <c r="C10" s="28" t="inlineStr">
        <is>
          <t>Обозначение</t>
        </is>
      </c>
      <c r="D10" s="28" t="inlineStr">
        <is>
          <t>Значение</t>
        </is>
      </c>
      <c r="E10" s="28" t="inlineStr">
        <is>
          <t>Ед. изм.</t>
        </is>
      </c>
      <c r="F10" s="28" t="inlineStr">
        <is>
          <t>Пояснение</t>
        </is>
      </c>
    </row>
    <row r="11" ht="20" customHeight="1">
      <c r="B11" s="29" t="inlineStr">
        <is>
          <t>Среднее время безотказной работы блока 1</t>
        </is>
      </c>
      <c r="C11" s="30" t="inlineStr">
        <is>
          <t>mt1</t>
        </is>
      </c>
      <c r="D11" s="31" t="n">
        <v>160</v>
      </c>
      <c r="E11" s="32" t="inlineStr">
        <is>
          <t>ч</t>
        </is>
      </c>
      <c r="F11" s="33" t="inlineStr">
        <is>
          <t>Блок 1</t>
        </is>
      </c>
    </row>
    <row r="12" ht="20" customHeight="1">
      <c r="B12" s="29" t="inlineStr">
        <is>
          <t>Среднее время безотказной работы блока 2</t>
        </is>
      </c>
      <c r="C12" s="30" t="inlineStr">
        <is>
          <t>mt2</t>
        </is>
      </c>
      <c r="D12" s="31" t="n">
        <v>320</v>
      </c>
      <c r="E12" s="32" t="inlineStr">
        <is>
          <t>ч</t>
        </is>
      </c>
      <c r="F12" s="33" t="inlineStr">
        <is>
          <t>Блок 2</t>
        </is>
      </c>
    </row>
    <row r="13" ht="20" customHeight="1">
      <c r="B13" s="29" t="inlineStr">
        <is>
          <t>Среднее время безотказной работы блока 3</t>
        </is>
      </c>
      <c r="C13" s="30" t="inlineStr">
        <is>
          <t>mt3</t>
        </is>
      </c>
      <c r="D13" s="31" t="n">
        <v>600</v>
      </c>
      <c r="E13" s="32" t="inlineStr">
        <is>
          <t>ч</t>
        </is>
      </c>
      <c r="F13" s="33" t="inlineStr">
        <is>
          <t>Блок 3</t>
        </is>
      </c>
    </row>
    <row r="15" ht="20" customHeight="1">
      <c r="B15" s="27" t="inlineStr">
        <is>
          <t>Таблица 2. Расчет показателей надежности</t>
        </is>
      </c>
    </row>
    <row r="16" ht="24" customHeight="1">
      <c r="B16" s="35" t="inlineStr">
        <is>
          <t>Определяемый показатель</t>
        </is>
      </c>
      <c r="C16" s="35" t="inlineStr">
        <is>
          <t>Обозначение</t>
        </is>
      </c>
      <c r="D16" s="35" t="inlineStr">
        <is>
          <t>Математическая формула</t>
        </is>
      </c>
      <c r="E16" s="35" t="inlineStr">
        <is>
          <t>Значение (формула Excel)</t>
        </is>
      </c>
      <c r="F16" s="35" t="inlineStr">
        <is>
          <t>Ед. изм.</t>
        </is>
      </c>
      <c r="G16" s="35" t="inlineStr">
        <is>
          <t>Пояснение к результату</t>
        </is>
      </c>
    </row>
    <row r="17" ht="22" customHeight="1">
      <c r="B17" s="29" t="inlineStr">
        <is>
          <t>Интенсивность отказов блока 1</t>
        </is>
      </c>
      <c r="C17" s="30" t="inlineStr">
        <is>
          <t>l1</t>
        </is>
      </c>
      <c r="D17" s="36" t="inlineStr">
        <is>
          <t>1 / mt1</t>
        </is>
      </c>
      <c r="E17" s="22">
        <f>1/D11</f>
        <v/>
      </c>
      <c r="F17" s="32" t="inlineStr">
        <is>
          <t>1/ч</t>
        </is>
      </c>
      <c r="G17" s="33" t="inlineStr">
        <is>
          <t>λ1 = 1 / 160 = 0.00625 ч⁻¹</t>
        </is>
      </c>
    </row>
    <row r="18" ht="22" customHeight="1">
      <c r="B18" s="29" t="inlineStr">
        <is>
          <t>Интенсивность отказов блока 2</t>
        </is>
      </c>
      <c r="C18" s="30" t="inlineStr">
        <is>
          <t>l2</t>
        </is>
      </c>
      <c r="D18" s="36" t="inlineStr">
        <is>
          <t>1 / mt2</t>
        </is>
      </c>
      <c r="E18" s="22">
        <f>1/D12</f>
        <v/>
      </c>
      <c r="F18" s="32" t="inlineStr">
        <is>
          <t>1/ч</t>
        </is>
      </c>
      <c r="G18" s="33" t="inlineStr">
        <is>
          <t>λ2 = 1 / 320 = 0.003125 ч⁻¹</t>
        </is>
      </c>
    </row>
    <row r="19" ht="22" customHeight="1">
      <c r="B19" s="29" t="inlineStr">
        <is>
          <t>Интенсивность отказов блока 3</t>
        </is>
      </c>
      <c r="C19" s="30" t="inlineStr">
        <is>
          <t>l3</t>
        </is>
      </c>
      <c r="D19" s="36" t="inlineStr">
        <is>
          <t>1 / mt3</t>
        </is>
      </c>
      <c r="E19" s="22">
        <f>1/D13</f>
        <v/>
      </c>
      <c r="F19" s="32" t="inlineStr">
        <is>
          <t>1/ч</t>
        </is>
      </c>
      <c r="G19" s="33" t="inlineStr">
        <is>
          <t>λ3 = 1 / 600 ≈ 0.001667 ч⁻¹</t>
        </is>
      </c>
    </row>
    <row r="20" ht="22" customHeight="1">
      <c r="B20" s="29" t="inlineStr">
        <is>
          <t>Интенсивность отказов системы</t>
        </is>
      </c>
      <c r="C20" s="30" t="inlineStr">
        <is>
          <t>lc</t>
        </is>
      </c>
      <c r="D20" s="36" t="inlineStr">
        <is>
          <t>λ1 + λ2 + λ3</t>
        </is>
      </c>
      <c r="E20" s="22">
        <f>E17+E18+E19</f>
        <v/>
      </c>
      <c r="F20" s="32" t="inlineStr">
        <is>
          <t>1/ч</t>
        </is>
      </c>
      <c r="G20" s="33" t="inlineStr">
        <is>
          <t>λc = 0.00625 + 0.003125 + 0.001667 ≈ 0.011042 ч⁻¹</t>
        </is>
      </c>
    </row>
    <row r="21" ht="22" customHeight="1">
      <c r="B21" s="29" t="inlineStr">
        <is>
          <t>Среднее время безотказной работы системы</t>
        </is>
      </c>
      <c r="C21" s="30" t="inlineStr">
        <is>
          <t>mtc</t>
        </is>
      </c>
      <c r="D21" s="36" t="inlineStr">
        <is>
          <t>1 / λc</t>
        </is>
      </c>
      <c r="E21" s="23">
        <f>1/E20</f>
        <v/>
      </c>
      <c r="F21" s="32" t="inlineStr">
        <is>
          <t>ч</t>
        </is>
      </c>
      <c r="G21" s="33" t="inlineStr">
        <is>
          <t>mtc = 1 / 0.011042 ≈ 90.57 ч (в слайде округлено до 91 ч)</t>
        </is>
      </c>
    </row>
    <row r="22" ht="24" customHeight="1">
      <c r="B22" s="38" t="inlineStr">
        <is>
          <t>ВЫВОД / ОТВЕТ: Среднее время безотказной работы системы: mtc = 90,57 ч ≈ 91 ч (интенсивность отказов системы λc = 0,011 1/ч).</t>
        </is>
      </c>
      <c r="C22" s="39" t="n"/>
      <c r="D22" s="39" t="n"/>
      <c r="E22" s="39" t="n"/>
      <c r="F22" s="39" t="n"/>
      <c r="G22" s="39" t="n"/>
    </row>
    <row r="25" ht="24" customHeight="1">
      <c r="B25" s="24" t="inlineStr">
        <is>
          <t>ЗАДАЧА № 2. Определение p(t) и q(t) для 1000 подшипников качения при t = 3000 ч</t>
        </is>
      </c>
      <c r="C25" s="2" t="n"/>
      <c r="D25" s="2" t="n"/>
      <c r="E25" s="2" t="n"/>
      <c r="F25" s="2" t="n"/>
      <c r="G25" s="2" t="n"/>
    </row>
    <row r="26" ht="18" customHeight="1">
      <c r="B26" s="25" t="inlineStr">
        <is>
          <t>Условие: На испытание поставлено 1000 однотипных подшипников качения; за 3000 ч отказало 80 подшипников. Требуется определить p(t), q(t) при t = 3000 ч.</t>
        </is>
      </c>
      <c r="C26" s="26" t="n"/>
      <c r="D26" s="26" t="n"/>
      <c r="E26" s="26" t="n"/>
      <c r="F26" s="26" t="n"/>
      <c r="G26" s="26" t="n"/>
    </row>
    <row r="27" ht="18" customHeight="1">
      <c r="B27" s="26" t="n"/>
      <c r="C27" s="26" t="n"/>
      <c r="D27" s="26" t="n"/>
      <c r="E27" s="26" t="n"/>
      <c r="F27" s="26" t="n"/>
      <c r="G27" s="26" t="n"/>
    </row>
    <row r="28" ht="20" customHeight="1">
      <c r="B28" s="27" t="inlineStr">
        <is>
          <t>Таблица 1. Исходные данные задачи</t>
        </is>
      </c>
    </row>
    <row r="29" ht="22" customHeight="1">
      <c r="B29" s="28" t="inlineStr">
        <is>
          <t>Наименование параметра</t>
        </is>
      </c>
      <c r="C29" s="28" t="inlineStr">
        <is>
          <t>Обозначение</t>
        </is>
      </c>
      <c r="D29" s="28" t="inlineStr">
        <is>
          <t>Значение</t>
        </is>
      </c>
      <c r="E29" s="28" t="inlineStr">
        <is>
          <t>Ед. изм.</t>
        </is>
      </c>
      <c r="F29" s="28" t="inlineStr">
        <is>
          <t>Пояснение</t>
        </is>
      </c>
    </row>
    <row r="30" ht="20" customHeight="1">
      <c r="B30" s="29" t="inlineStr">
        <is>
          <t>Число подшипников на испытании</t>
        </is>
      </c>
      <c r="C30" s="30" t="inlineStr">
        <is>
          <t>N</t>
        </is>
      </c>
      <c r="D30" s="31" t="n">
        <v>1000</v>
      </c>
      <c r="E30" s="32" t="inlineStr">
        <is>
          <t>шт.</t>
        </is>
      </c>
      <c r="F30" s="33" t="inlineStr">
        <is>
          <t>Объем партии</t>
        </is>
      </c>
    </row>
    <row r="31" ht="20" customHeight="1">
      <c r="B31" s="29" t="inlineStr">
        <is>
          <t>Время испытания</t>
        </is>
      </c>
      <c r="C31" s="30" t="inlineStr">
        <is>
          <t>t</t>
        </is>
      </c>
      <c r="D31" s="31" t="n">
        <v>3000</v>
      </c>
      <c r="E31" s="32" t="inlineStr">
        <is>
          <t>ч</t>
        </is>
      </c>
      <c r="F31" s="33" t="inlineStr">
        <is>
          <t>Момент времени 3000 ч</t>
        </is>
      </c>
    </row>
    <row r="32" ht="20" customHeight="1">
      <c r="B32" s="29" t="inlineStr">
        <is>
          <t>Число отказавших подшипников</t>
        </is>
      </c>
      <c r="C32" s="30" t="inlineStr">
        <is>
          <t>n_отк</t>
        </is>
      </c>
      <c r="D32" s="31" t="n">
        <v>80</v>
      </c>
      <c r="E32" s="32" t="inlineStr">
        <is>
          <t>шт.</t>
        </is>
      </c>
      <c r="F32" s="33" t="inlineStr">
        <is>
          <t>Отказы за 3000 ч</t>
        </is>
      </c>
    </row>
    <row r="34" ht="20" customHeight="1">
      <c r="B34" s="27" t="inlineStr">
        <is>
          <t>Таблица 2. Расчет показателей надежности</t>
        </is>
      </c>
    </row>
    <row r="35" ht="24" customHeight="1">
      <c r="B35" s="35" t="inlineStr">
        <is>
          <t>Определяемый показатель</t>
        </is>
      </c>
      <c r="C35" s="35" t="inlineStr">
        <is>
          <t>Обозначение</t>
        </is>
      </c>
      <c r="D35" s="35" t="inlineStr">
        <is>
          <t>Математическая формула</t>
        </is>
      </c>
      <c r="E35" s="35" t="inlineStr">
        <is>
          <t>Значение (формула Excel)</t>
        </is>
      </c>
      <c r="F35" s="35" t="inlineStr">
        <is>
          <t>Ед. изм.</t>
        </is>
      </c>
      <c r="G35" s="35" t="inlineStr">
        <is>
          <t>Пояснение к результату</t>
        </is>
      </c>
    </row>
    <row r="36" ht="22" customHeight="1">
      <c r="B36" s="29" t="inlineStr">
        <is>
          <t>Число не отказавших подшипников</t>
        </is>
      </c>
      <c r="C36" s="30" t="inlineStr">
        <is>
          <t>nt</t>
        </is>
      </c>
      <c r="D36" s="36" t="inlineStr">
        <is>
          <t>N - n_отк(t)</t>
        </is>
      </c>
      <c r="E36" s="37">
        <f>D30-D32</f>
        <v/>
      </c>
      <c r="F36" s="32" t="inlineStr">
        <is>
          <t>шт.</t>
        </is>
      </c>
      <c r="G36" s="33" t="inlineStr">
        <is>
          <t>n(3000) = 1000 - 80 = 920 шт.</t>
        </is>
      </c>
    </row>
    <row r="37" ht="22" customHeight="1">
      <c r="B37" s="29" t="inlineStr">
        <is>
          <t>Вероятность безотказной работы</t>
        </is>
      </c>
      <c r="C37" s="30" t="inlineStr">
        <is>
          <t>p_3000</t>
        </is>
      </c>
      <c r="D37" s="36" t="inlineStr">
        <is>
          <t>n(t) / N</t>
        </is>
      </c>
      <c r="E37" s="21">
        <f>E36/D30</f>
        <v/>
      </c>
      <c r="F37" s="32" t="inlineStr">
        <is>
          <t>—</t>
        </is>
      </c>
      <c r="G37" s="33" t="inlineStr">
        <is>
          <t>p(3000) = 920 / 1000 = 0.92 (92%)</t>
        </is>
      </c>
    </row>
    <row r="38" ht="22" customHeight="1">
      <c r="B38" s="29" t="inlineStr">
        <is>
          <t>Вероятность отказа подшипников</t>
        </is>
      </c>
      <c r="C38" s="30" t="inlineStr">
        <is>
          <t>q_3000</t>
        </is>
      </c>
      <c r="D38" s="36" t="inlineStr">
        <is>
          <t>(N - n(t)) / N = 1 - p</t>
        </is>
      </c>
      <c r="E38" s="21">
        <f>1-E37</f>
        <v/>
      </c>
      <c r="F38" s="32" t="inlineStr">
        <is>
          <t>—</t>
        </is>
      </c>
      <c r="G38" s="33" t="inlineStr">
        <is>
          <t>q(3000) = 80 / 1000 = 0.08 (8%)</t>
        </is>
      </c>
    </row>
    <row r="39" ht="24" customHeight="1">
      <c r="B39" s="38" t="inlineStr">
        <is>
          <t>ВЫВОД / ОТВЕТ: При t = 3000 ч вероятность безотказной работы p(3000) = 0,92 (92%), вероятность отказа q(3000) = 0,08 (8%).</t>
        </is>
      </c>
      <c r="C39" s="39" t="n"/>
      <c r="D39" s="39" t="n"/>
      <c r="E39" s="39" t="n"/>
      <c r="F39" s="39" t="n"/>
      <c r="G39" s="39" t="n"/>
    </row>
    <row r="42" ht="24" customHeight="1">
      <c r="B42" s="24" t="inlineStr">
        <is>
          <t>ЗАДАЧА № 3. Определение p(3000), p(3100), f(3000), λ(3000) для 500 изделий</t>
        </is>
      </c>
      <c r="C42" s="2" t="n"/>
      <c r="D42" s="2" t="n"/>
      <c r="E42" s="2" t="n"/>
      <c r="F42" s="2" t="n"/>
      <c r="G42" s="2" t="n"/>
    </row>
    <row r="43" ht="18" customHeight="1">
      <c r="B43" s="25" t="inlineStr">
        <is>
          <t>Условие: На испытание поставлено 500 изделий. За время 3000 ч отказало 300 изделий, т.е. n(t) = 500 - 300 = 200. За интервал времени (t, t+Δt), где Δt = 100 ч, отказало еще 100 изделий, т.е. Δn(t) = 100. Требуется определить p(3000), p(3100), f(3000), λ(3000).</t>
        </is>
      </c>
      <c r="C43" s="26" t="n"/>
      <c r="D43" s="26" t="n"/>
      <c r="E43" s="26" t="n"/>
      <c r="F43" s="26" t="n"/>
      <c r="G43" s="26" t="n"/>
    </row>
    <row r="44" ht="18" customHeight="1">
      <c r="B44" s="26" t="n"/>
      <c r="C44" s="26" t="n"/>
      <c r="D44" s="26" t="n"/>
      <c r="E44" s="26" t="n"/>
      <c r="F44" s="26" t="n"/>
      <c r="G44" s="26" t="n"/>
    </row>
    <row r="45" ht="20" customHeight="1">
      <c r="B45" s="27" t="inlineStr">
        <is>
          <t>Таблица 1. Исходные данные задачи</t>
        </is>
      </c>
    </row>
    <row r="46" ht="22" customHeight="1">
      <c r="B46" s="28" t="inlineStr">
        <is>
          <t>Наименование параметра</t>
        </is>
      </c>
      <c r="C46" s="28" t="inlineStr">
        <is>
          <t>Обозначение</t>
        </is>
      </c>
      <c r="D46" s="28" t="inlineStr">
        <is>
          <t>Значение</t>
        </is>
      </c>
      <c r="E46" s="28" t="inlineStr">
        <is>
          <t>Ед. изм.</t>
        </is>
      </c>
      <c r="F46" s="28" t="inlineStr">
        <is>
          <t>Пояснение</t>
        </is>
      </c>
    </row>
    <row r="47" ht="20" customHeight="1">
      <c r="B47" s="29" t="inlineStr">
        <is>
          <t>Число изделий на испытании</t>
        </is>
      </c>
      <c r="C47" s="30" t="inlineStr">
        <is>
          <t>N</t>
        </is>
      </c>
      <c r="D47" s="31" t="n">
        <v>500</v>
      </c>
      <c r="E47" s="32" t="inlineStr">
        <is>
          <t>шт.</t>
        </is>
      </c>
      <c r="F47" s="33" t="inlineStr">
        <is>
          <t>Партия изделий</t>
        </is>
      </c>
    </row>
    <row r="48" ht="20" customHeight="1">
      <c r="B48" s="29" t="inlineStr">
        <is>
          <t>Время первой наработки</t>
        </is>
      </c>
      <c r="C48" s="30" t="inlineStr">
        <is>
          <t>t</t>
        </is>
      </c>
      <c r="D48" s="31" t="n">
        <v>3000</v>
      </c>
      <c r="E48" s="32" t="inlineStr">
        <is>
          <t>ч</t>
        </is>
      </c>
      <c r="F48" s="33" t="inlineStr">
        <is>
          <t>Момент t = 3000 ч</t>
        </is>
      </c>
    </row>
    <row r="49" ht="20" customHeight="1">
      <c r="B49" s="29" t="inlineStr">
        <is>
          <t>Число отказавших к моменту t</t>
        </is>
      </c>
      <c r="C49" s="30" t="inlineStr">
        <is>
          <t>n_отк1</t>
        </is>
      </c>
      <c r="D49" s="31" t="n">
        <v>300</v>
      </c>
      <c r="E49" s="32" t="inlineStr">
        <is>
          <t>шт.</t>
        </is>
      </c>
      <c r="F49" s="33" t="inlineStr">
        <is>
          <t>Отказы за первые 3000 ч</t>
        </is>
      </c>
    </row>
    <row r="50" ht="20" customHeight="1">
      <c r="B50" s="29" t="inlineStr">
        <is>
          <t>Интервал времени</t>
        </is>
      </c>
      <c r="C50" s="30" t="inlineStr">
        <is>
          <t>dt</t>
        </is>
      </c>
      <c r="D50" s="31" t="n">
        <v>100</v>
      </c>
      <c r="E50" s="32" t="inlineStr">
        <is>
          <t>ч</t>
        </is>
      </c>
      <c r="F50" s="33" t="inlineStr">
        <is>
          <t>Δt = 100 ч (до 3100 ч)</t>
        </is>
      </c>
    </row>
    <row r="51" ht="20" customHeight="1">
      <c r="B51" s="29" t="inlineStr">
        <is>
          <t>Число отказов в интервале Δt</t>
        </is>
      </c>
      <c r="C51" s="30" t="inlineStr">
        <is>
          <t>dn</t>
        </is>
      </c>
      <c r="D51" s="31" t="n">
        <v>100</v>
      </c>
      <c r="E51" s="32" t="inlineStr">
        <is>
          <t>шт.</t>
        </is>
      </c>
      <c r="F51" s="33" t="inlineStr">
        <is>
          <t>Отказы за 100 ч</t>
        </is>
      </c>
    </row>
    <row r="53" ht="20" customHeight="1">
      <c r="B53" s="27" t="inlineStr">
        <is>
          <t>Таблица 2. Расчет показателей надежности</t>
        </is>
      </c>
    </row>
    <row r="54" ht="24" customHeight="1">
      <c r="B54" s="35" t="inlineStr">
        <is>
          <t>Определяемый показатель</t>
        </is>
      </c>
      <c r="C54" s="35" t="inlineStr">
        <is>
          <t>Обозначение</t>
        </is>
      </c>
      <c r="D54" s="35" t="inlineStr">
        <is>
          <t>Математическая формула</t>
        </is>
      </c>
      <c r="E54" s="35" t="inlineStr">
        <is>
          <t>Значение (формула Excel)</t>
        </is>
      </c>
      <c r="F54" s="35" t="inlineStr">
        <is>
          <t>Ед. изм.</t>
        </is>
      </c>
      <c r="G54" s="35" t="inlineStr">
        <is>
          <t>Пояснение к результату</t>
        </is>
      </c>
    </row>
    <row r="55" ht="22" customHeight="1">
      <c r="B55" s="29" t="inlineStr">
        <is>
          <t>Число работоспособных к 3000 ч</t>
        </is>
      </c>
      <c r="C55" s="30" t="inlineStr">
        <is>
          <t>nt1</t>
        </is>
      </c>
      <c r="D55" s="36" t="inlineStr">
        <is>
          <t>N - n_отк(3000)</t>
        </is>
      </c>
      <c r="E55" s="37">
        <f>D47-D49</f>
        <v/>
      </c>
      <c r="F55" s="32" t="inlineStr">
        <is>
          <t>шт.</t>
        </is>
      </c>
      <c r="G55" s="33" t="inlineStr">
        <is>
          <t>n(3000) = 500 - 300 = 200 шт.</t>
        </is>
      </c>
    </row>
    <row r="56" ht="22" customHeight="1">
      <c r="B56" s="29" t="inlineStr">
        <is>
          <t>Число работоспособных к 3100 ч</t>
        </is>
      </c>
      <c r="C56" s="30" t="inlineStr">
        <is>
          <t>nt2</t>
        </is>
      </c>
      <c r="D56" s="36" t="inlineStr">
        <is>
          <t>n(3000) - Δn</t>
        </is>
      </c>
      <c r="E56" s="37">
        <f>E55-D51</f>
        <v/>
      </c>
      <c r="F56" s="32" t="inlineStr">
        <is>
          <t>шт.</t>
        </is>
      </c>
      <c r="G56" s="33" t="inlineStr">
        <is>
          <t>n(3100) = 200 - 100 = 100 шт.</t>
        </is>
      </c>
    </row>
    <row r="57" ht="22" customHeight="1">
      <c r="B57" s="29" t="inlineStr">
        <is>
          <t>Вероятность безотказной работы p(3000)</t>
        </is>
      </c>
      <c r="C57" s="30" t="inlineStr">
        <is>
          <t>p_3000</t>
        </is>
      </c>
      <c r="D57" s="36" t="inlineStr">
        <is>
          <t>n(3000) / N</t>
        </is>
      </c>
      <c r="E57" s="21">
        <f>E55/D47</f>
        <v/>
      </c>
      <c r="F57" s="32" t="inlineStr">
        <is>
          <t>—</t>
        </is>
      </c>
      <c r="G57" s="33" t="inlineStr">
        <is>
          <t>p(3000) = 200 / 500 = 0.40 (40%)</t>
        </is>
      </c>
    </row>
    <row r="58" ht="22" customHeight="1">
      <c r="B58" s="29" t="inlineStr">
        <is>
          <t>Вероятность безотказной работы p(3100)</t>
        </is>
      </c>
      <c r="C58" s="30" t="inlineStr">
        <is>
          <t>p_3100</t>
        </is>
      </c>
      <c r="D58" s="36" t="inlineStr">
        <is>
          <t>n(3100) / N</t>
        </is>
      </c>
      <c r="E58" s="21">
        <f>E56/D47</f>
        <v/>
      </c>
      <c r="F58" s="32" t="inlineStr">
        <is>
          <t>—</t>
        </is>
      </c>
      <c r="G58" s="33" t="inlineStr">
        <is>
          <t>p(3100) = 100 / 500 = 0.20 (20%)</t>
        </is>
      </c>
    </row>
    <row r="59" ht="22" customHeight="1">
      <c r="B59" s="29" t="inlineStr">
        <is>
          <t>Частота отказов f(3000)</t>
        </is>
      </c>
      <c r="C59" s="30" t="inlineStr">
        <is>
          <t>f_3000</t>
        </is>
      </c>
      <c r="D59" s="36" t="inlineStr">
        <is>
          <t>Δn / (N · Δt)</t>
        </is>
      </c>
      <c r="E59" s="22">
        <f>D51/(D47*D50)</f>
        <v/>
      </c>
      <c r="F59" s="32" t="inlineStr">
        <is>
          <t>1/ч</t>
        </is>
      </c>
      <c r="G59" s="33" t="inlineStr">
        <is>
          <t>f(3000) = 100 / (500 · 100) = 0.002 ч⁻¹</t>
        </is>
      </c>
    </row>
    <row r="60" ht="22" customHeight="1">
      <c r="B60" s="29" t="inlineStr">
        <is>
          <t>Интенсивность отказов λ(3000)</t>
        </is>
      </c>
      <c r="C60" s="30" t="inlineStr">
        <is>
          <t>l_3000</t>
        </is>
      </c>
      <c r="D60" s="36" t="inlineStr">
        <is>
          <t>Δn / (n(3000) · Δt)</t>
        </is>
      </c>
      <c r="E60" s="22">
        <f>D51/(E55*D50)</f>
        <v/>
      </c>
      <c r="F60" s="32" t="inlineStr">
        <is>
          <t>1/ч</t>
        </is>
      </c>
      <c r="G60" s="33" t="inlineStr">
        <is>
          <t>λ(3000) = 100 / (200 · 100) = 0.005 ч⁻¹</t>
        </is>
      </c>
    </row>
    <row r="61" ht="24" customHeight="1">
      <c r="B61" s="38" t="inlineStr">
        <is>
          <t>ВЫВОД / ОТВЕТ: Результаты: p(3000) = 0,40; p(3100) = 0,20; f(3000) = 0,002 1/ч; λ(3000) = 0,005 1/ч.</t>
        </is>
      </c>
      <c r="C61" s="39" t="n"/>
      <c r="D61" s="39" t="n"/>
      <c r="E61" s="39" t="n"/>
      <c r="F61" s="39" t="n"/>
      <c r="G61" s="39" t="n"/>
    </row>
    <row r="64" ht="24" customHeight="1">
      <c r="B64" s="40" t="inlineStr">
        <is>
          <t>ЗАДАЧА № 4. Статистическая оценка среднего времени безотказной работы mt* по выборке из 6 изделий</t>
        </is>
      </c>
      <c r="C64" s="2" t="n"/>
      <c r="D64" s="2" t="n"/>
      <c r="E64" s="2" t="n"/>
      <c r="F64" s="2" t="n"/>
      <c r="G64" s="2" t="n"/>
    </row>
    <row r="65" ht="18" customHeight="1">
      <c r="B65" s="25" t="inlineStr">
        <is>
          <t>Условие: На испытание поставлено шесть однотипных изделий. Получены следующие значения ti (время безотказной работы i-го изделия): t1 = 280 ч; t2 = 350 ч; t3 = 400 ч; t4 = 320 ч; t5 = 380 ч; t6 = 330 ч. Определить статистическую оценку среднего времени безотказной работы изделия.</t>
        </is>
      </c>
      <c r="C65" s="26" t="n"/>
      <c r="D65" s="26" t="n"/>
      <c r="E65" s="26" t="n"/>
      <c r="F65" s="26" t="n"/>
      <c r="G65" s="26" t="n"/>
    </row>
    <row r="66" ht="18" customHeight="1">
      <c r="B66" s="26" t="n"/>
      <c r="C66" s="26" t="n"/>
      <c r="D66" s="26" t="n"/>
      <c r="E66" s="26" t="n"/>
      <c r="F66" s="26" t="n"/>
      <c r="G66" s="26" t="n"/>
    </row>
    <row r="67" ht="20" customHeight="1">
      <c r="B67" s="27" t="inlineStr">
        <is>
          <t>Таблица 1. Значения наработок изделий до отказа</t>
        </is>
      </c>
    </row>
    <row r="68" ht="22" customHeight="1">
      <c r="B68" s="35" t="inlineStr">
        <is>
          <t>№ изделия (i)</t>
        </is>
      </c>
      <c r="C68" s="35" t="inlineStr">
        <is>
          <t>Обозначение</t>
        </is>
      </c>
      <c r="D68" s="35" t="inlineStr">
        <is>
          <t>Время работы ti, ч</t>
        </is>
      </c>
      <c r="E68" s="35" t="inlineStr">
        <is>
          <t>Пояснение</t>
        </is>
      </c>
    </row>
    <row r="69" ht="20" customHeight="1">
      <c r="B69" s="32" t="n">
        <v>1</v>
      </c>
      <c r="C69" s="30" t="inlineStr">
        <is>
          <t>t1</t>
        </is>
      </c>
      <c r="D69" s="43" t="n">
        <v>280</v>
      </c>
      <c r="E69" s="33" t="inlineStr">
        <is>
          <t>Изделие № 1</t>
        </is>
      </c>
    </row>
    <row r="70" ht="20" customHeight="1">
      <c r="B70" s="32" t="n">
        <v>2</v>
      </c>
      <c r="C70" s="30" t="inlineStr">
        <is>
          <t>t2</t>
        </is>
      </c>
      <c r="D70" s="43" t="n">
        <v>350</v>
      </c>
      <c r="E70" s="33" t="inlineStr">
        <is>
          <t>Изделие № 2</t>
        </is>
      </c>
    </row>
    <row r="71" ht="20" customHeight="1">
      <c r="B71" s="32" t="n">
        <v>3</v>
      </c>
      <c r="C71" s="30" t="inlineStr">
        <is>
          <t>t3</t>
        </is>
      </c>
      <c r="D71" s="43" t="n">
        <v>400</v>
      </c>
      <c r="E71" s="33" t="inlineStr">
        <is>
          <t>Изделие № 3</t>
        </is>
      </c>
    </row>
    <row r="72" ht="20" customHeight="1">
      <c r="B72" s="32" t="n">
        <v>4</v>
      </c>
      <c r="C72" s="30" t="inlineStr">
        <is>
          <t>t4</t>
        </is>
      </c>
      <c r="D72" s="43" t="n">
        <v>320</v>
      </c>
      <c r="E72" s="33" t="inlineStr">
        <is>
          <t>Изделие № 4</t>
        </is>
      </c>
    </row>
    <row r="73" ht="20" customHeight="1">
      <c r="B73" s="32" t="n">
        <v>5</v>
      </c>
      <c r="C73" s="30" t="inlineStr">
        <is>
          <t>t5</t>
        </is>
      </c>
      <c r="D73" s="43" t="n">
        <v>380</v>
      </c>
      <c r="E73" s="33" t="inlineStr">
        <is>
          <t>Изделие № 5</t>
        </is>
      </c>
    </row>
    <row r="74" ht="20" customHeight="1">
      <c r="B74" s="32" t="n">
        <v>6</v>
      </c>
      <c r="C74" s="30" t="inlineStr">
        <is>
          <t>t6</t>
        </is>
      </c>
      <c r="D74" s="43" t="n">
        <v>330</v>
      </c>
      <c r="E74" s="33" t="inlineStr">
        <is>
          <t>Изделие № 6</t>
        </is>
      </c>
    </row>
    <row r="75">
      <c r="B75" s="44" t="inlineStr">
        <is>
          <t>ИТОГО (Сумма Σti):</t>
        </is>
      </c>
      <c r="C75" s="45" t="n"/>
      <c r="D75" s="47">
        <f>SUM(D69:D74)</f>
        <v/>
      </c>
      <c r="E75" s="48" t="inlineStr">
        <is>
          <t>Суммарная наработка 6 изделий = 2060 ч</t>
        </is>
      </c>
    </row>
    <row r="77" ht="20" customHeight="1">
      <c r="B77" s="27" t="inlineStr">
        <is>
          <t>Таблица 2. Расчет среднего времени mt* по формуле (1.5)</t>
        </is>
      </c>
    </row>
    <row r="78" ht="24" customHeight="1">
      <c r="B78" s="35" t="inlineStr">
        <is>
          <t>Определяемый показатель</t>
        </is>
      </c>
      <c r="C78" s="35" t="inlineStr">
        <is>
          <t>Обозначение</t>
        </is>
      </c>
      <c r="D78" s="35" t="inlineStr">
        <is>
          <t>Математическая формула</t>
        </is>
      </c>
      <c r="E78" s="35" t="inlineStr">
        <is>
          <t>Значение (формула Excel)</t>
        </is>
      </c>
      <c r="F78" s="35" t="inlineStr">
        <is>
          <t>Ед. изм.</t>
        </is>
      </c>
      <c r="G78" s="35" t="inlineStr">
        <is>
          <t>Пояснение к результату</t>
        </is>
      </c>
    </row>
    <row r="79" ht="22" customHeight="1">
      <c r="B79" s="29" t="inlineStr">
        <is>
          <t>Число изделий на испытании</t>
        </is>
      </c>
      <c r="C79" s="30" t="inlineStr">
        <is>
          <t>N</t>
        </is>
      </c>
      <c r="D79" s="36">
        <f>COUNT(D69:D74)</f>
        <v/>
      </c>
      <c r="E79" s="37">
        <f>COUNT(D69:D74)</f>
        <v/>
      </c>
      <c r="F79" s="32" t="inlineStr">
        <is>
          <t>шт.</t>
        </is>
      </c>
      <c r="G79" s="33" t="inlineStr">
        <is>
          <t>Объем выборки N = 6</t>
        </is>
      </c>
    </row>
    <row r="80" ht="22" customHeight="1">
      <c r="B80" s="29" t="inlineStr">
        <is>
          <t>Суммарная наработка всех изделий</t>
        </is>
      </c>
      <c r="C80" s="30" t="inlineStr">
        <is>
          <t>Σti</t>
        </is>
      </c>
      <c r="D80" s="36">
        <f>SUM(D69:D74)</f>
        <v/>
      </c>
      <c r="E80" s="49">
        <f>SUM(D69:D74)</f>
        <v/>
      </c>
      <c r="F80" s="32" t="inlineStr">
        <is>
          <t>ч</t>
        </is>
      </c>
      <c r="G80" s="33" t="inlineStr">
        <is>
          <t>Σti = 2060 ч</t>
        </is>
      </c>
    </row>
    <row r="81" ht="22" customHeight="1">
      <c r="B81" s="29" t="inlineStr">
        <is>
          <t>Среднее время безотказной работы</t>
        </is>
      </c>
      <c r="C81" s="30" t="inlineStr">
        <is>
          <t>mt*</t>
        </is>
      </c>
      <c r="D81" s="36" t="inlineStr">
        <is>
          <t>Σti / N = AVERAGE(D69:D74)</t>
        </is>
      </c>
      <c r="E81" s="23">
        <f>AVERAGE(D69:D74)</f>
        <v/>
      </c>
      <c r="F81" s="32" t="inlineStr">
        <is>
          <t>ч</t>
        </is>
      </c>
      <c r="G81" s="33" t="inlineStr">
        <is>
          <t>mt* = 2060 / 6 ≈ 343.33 ч</t>
        </is>
      </c>
    </row>
    <row r="82" ht="24" customHeight="1">
      <c r="B82" s="38" t="inlineStr">
        <is>
          <t>ВЫВОД / ОТВЕТ: Статистическая оценка среднего времени безотказной работы изделия: mt* = 343,33 ч.</t>
        </is>
      </c>
      <c r="C82" s="39" t="n"/>
      <c r="D82" s="39" t="n"/>
      <c r="E82" s="39" t="n"/>
      <c r="F82" s="39" t="n"/>
      <c r="G82" s="39" t="n"/>
    </row>
    <row r="85" ht="24" customHeight="1">
      <c r="B85" s="40" t="inlineStr">
        <is>
          <t>ЗАДАЧА № 5. Расчет mt* по данным испытаний 45 образцов радиоэлектронного оборудования (16 интервалов)</t>
        </is>
      </c>
      <c r="C85" s="2" t="n"/>
      <c r="D85" s="2" t="n"/>
      <c r="E85" s="2" t="n"/>
      <c r="F85" s="2" t="n"/>
      <c r="G85" s="2" t="n"/>
    </row>
    <row r="86" ht="18" customHeight="1">
      <c r="B86" s="25" t="inlineStr">
        <is>
          <t>Условие: В результате наблюдения за 45 образцами радиоэлектронного оборудования получены данные до первого отказа всех 45 образцов, сведенные в таблицу. Требуется определить mt*.</t>
        </is>
      </c>
      <c r="C86" s="26" t="n"/>
      <c r="D86" s="26" t="n"/>
      <c r="E86" s="26" t="n"/>
      <c r="F86" s="26" t="n"/>
      <c r="G86" s="26" t="n"/>
    </row>
    <row r="87" ht="18" customHeight="1">
      <c r="B87" s="26" t="n"/>
      <c r="C87" s="26" t="n"/>
      <c r="D87" s="26" t="n"/>
      <c r="E87" s="26" t="n"/>
      <c r="F87" s="26" t="n"/>
      <c r="G87" s="26" t="n"/>
    </row>
    <row r="88" ht="20" customHeight="1">
      <c r="B88" s="27" t="inlineStr">
        <is>
          <t>Таблица 1. Интервальный вариационный ряд наработок до первого отказа</t>
        </is>
      </c>
    </row>
    <row r="89" ht="25" customHeight="1">
      <c r="B89" s="7" t="inlineStr">
        <is>
          <t>№ интервала (i)</t>
        </is>
      </c>
      <c r="C89" s="7" t="inlineStr">
        <is>
          <t>Интервал времени Δti, ч</t>
        </is>
      </c>
      <c r="D89" s="7" t="inlineStr">
        <is>
          <t>Середина интервала tср.i, ч</t>
        </is>
      </c>
      <c r="E89" s="7" t="inlineStr">
        <is>
          <t>Число отказов ni, шт.</t>
        </is>
      </c>
      <c r="F89" s="7" t="inlineStr">
        <is>
          <t>Произведение (ni · tср.i), ч·шт</t>
        </is>
      </c>
      <c r="G89" s="7" t="inlineStr">
        <is>
          <t>Пояснение</t>
        </is>
      </c>
    </row>
    <row r="90" ht="20" customHeight="1">
      <c r="B90" s="32" t="n">
        <v>1</v>
      </c>
      <c r="C90" s="32" t="inlineStr">
        <is>
          <t>0 - 5</t>
        </is>
      </c>
      <c r="D90" s="41" t="n">
        <v>2.5</v>
      </c>
      <c r="E90" s="42" t="n">
        <v>1</v>
      </c>
      <c r="F90" s="43">
        <f>D90*E90</f>
        <v/>
      </c>
      <c r="G90" s="33" t="inlineStr">
        <is>
          <t>tср = (0+5)/2 = 2.5 ч</t>
        </is>
      </c>
    </row>
    <row r="91" ht="20" customHeight="1">
      <c r="B91" s="32" t="n">
        <v>2</v>
      </c>
      <c r="C91" s="32" t="inlineStr">
        <is>
          <t>5 - 10</t>
        </is>
      </c>
      <c r="D91" s="41" t="n">
        <v>7.5</v>
      </c>
      <c r="E91" s="42" t="n">
        <v>5</v>
      </c>
      <c r="F91" s="43">
        <f>D91*E91</f>
        <v/>
      </c>
      <c r="G91" s="33" t="inlineStr">
        <is>
          <t>tср = (5+10)/2 = 7.5 ч</t>
        </is>
      </c>
    </row>
    <row r="92" ht="20" customHeight="1">
      <c r="B92" s="32" t="n">
        <v>3</v>
      </c>
      <c r="C92" s="32" t="inlineStr">
        <is>
          <t>10 - 15</t>
        </is>
      </c>
      <c r="D92" s="41" t="n">
        <v>12.5</v>
      </c>
      <c r="E92" s="42" t="n">
        <v>8</v>
      </c>
      <c r="F92" s="43">
        <f>D92*E92</f>
        <v/>
      </c>
      <c r="G92" s="33" t="inlineStr">
        <is>
          <t>tср = (10+15)/2 = 12.5 ч</t>
        </is>
      </c>
    </row>
    <row r="93" ht="20" customHeight="1">
      <c r="B93" s="32" t="n">
        <v>4</v>
      </c>
      <c r="C93" s="32" t="inlineStr">
        <is>
          <t>15 - 20</t>
        </is>
      </c>
      <c r="D93" s="41" t="n">
        <v>17.5</v>
      </c>
      <c r="E93" s="42" t="n">
        <v>2</v>
      </c>
      <c r="F93" s="43">
        <f>D93*E93</f>
        <v/>
      </c>
      <c r="G93" s="33" t="inlineStr">
        <is>
          <t>tср = (15+20)/2 = 17.5 ч</t>
        </is>
      </c>
    </row>
    <row r="94" ht="20" customHeight="1">
      <c r="B94" s="32" t="n">
        <v>5</v>
      </c>
      <c r="C94" s="32" t="inlineStr">
        <is>
          <t>20 - 25</t>
        </is>
      </c>
      <c r="D94" s="41" t="n">
        <v>22.5</v>
      </c>
      <c r="E94" s="42" t="n">
        <v>5</v>
      </c>
      <c r="F94" s="43">
        <f>D94*E94</f>
        <v/>
      </c>
      <c r="G94" s="33" t="inlineStr">
        <is>
          <t>tср = (20+25)/2 = 22.5 ч</t>
        </is>
      </c>
    </row>
    <row r="95" ht="20" customHeight="1">
      <c r="B95" s="32" t="n">
        <v>6</v>
      </c>
      <c r="C95" s="32" t="inlineStr">
        <is>
          <t>25 - 30</t>
        </is>
      </c>
      <c r="D95" s="41" t="n">
        <v>27.5</v>
      </c>
      <c r="E95" s="42" t="n">
        <v>6</v>
      </c>
      <c r="F95" s="43">
        <f>D95*E95</f>
        <v/>
      </c>
      <c r="G95" s="33" t="inlineStr">
        <is>
          <t>tср = (25+30)/2 = 27.5 ч</t>
        </is>
      </c>
    </row>
    <row r="96" ht="20" customHeight="1">
      <c r="B96" s="32" t="n">
        <v>7</v>
      </c>
      <c r="C96" s="32" t="inlineStr">
        <is>
          <t>30 - 35</t>
        </is>
      </c>
      <c r="D96" s="41" t="n">
        <v>32.5</v>
      </c>
      <c r="E96" s="42" t="n">
        <v>4</v>
      </c>
      <c r="F96" s="43">
        <f>D96*E96</f>
        <v/>
      </c>
      <c r="G96" s="33" t="inlineStr">
        <is>
          <t>tср = (30+35)/2 = 32.5 ч</t>
        </is>
      </c>
    </row>
    <row r="97" ht="20" customHeight="1">
      <c r="B97" s="32" t="n">
        <v>8</v>
      </c>
      <c r="C97" s="32" t="inlineStr">
        <is>
          <t>35 - 40</t>
        </is>
      </c>
      <c r="D97" s="41" t="n">
        <v>37.5</v>
      </c>
      <c r="E97" s="42" t="n">
        <v>3</v>
      </c>
      <c r="F97" s="43">
        <f>D97*E97</f>
        <v/>
      </c>
      <c r="G97" s="33" t="inlineStr">
        <is>
          <t>tср = (35+40)/2 = 37.5 ч</t>
        </is>
      </c>
    </row>
    <row r="98" ht="20" customHeight="1">
      <c r="B98" s="32" t="n">
        <v>9</v>
      </c>
      <c r="C98" s="32" t="inlineStr">
        <is>
          <t>40 - 45</t>
        </is>
      </c>
      <c r="D98" s="41" t="n">
        <v>42.5</v>
      </c>
      <c r="E98" s="42" t="n">
        <v>0</v>
      </c>
      <c r="F98" s="43">
        <f>D98*E98</f>
        <v/>
      </c>
      <c r="G98" s="33" t="inlineStr">
        <is>
          <t>tср = (40+45)/2 = 42.5 ч</t>
        </is>
      </c>
    </row>
    <row r="99" ht="20" customHeight="1">
      <c r="B99" s="32" t="n">
        <v>10</v>
      </c>
      <c r="C99" s="32" t="inlineStr">
        <is>
          <t>45 - 50</t>
        </is>
      </c>
      <c r="D99" s="41" t="n">
        <v>47.5</v>
      </c>
      <c r="E99" s="42" t="n">
        <v>1</v>
      </c>
      <c r="F99" s="43">
        <f>D99*E99</f>
        <v/>
      </c>
      <c r="G99" s="33" t="inlineStr">
        <is>
          <t>tср = (45+50)/2 = 47.5 ч</t>
        </is>
      </c>
    </row>
    <row r="100" ht="20" customHeight="1">
      <c r="B100" s="32" t="n">
        <v>11</v>
      </c>
      <c r="C100" s="32" t="inlineStr">
        <is>
          <t>50 - 55</t>
        </is>
      </c>
      <c r="D100" s="41" t="n">
        <v>52.5</v>
      </c>
      <c r="E100" s="42" t="n">
        <v>0</v>
      </c>
      <c r="F100" s="43">
        <f>D100*E100</f>
        <v/>
      </c>
      <c r="G100" s="33" t="inlineStr">
        <is>
          <t>tср = (50+55)/2 = 52.5 ч</t>
        </is>
      </c>
    </row>
    <row r="101" ht="20" customHeight="1">
      <c r="B101" s="32" t="n">
        <v>12</v>
      </c>
      <c r="C101" s="32" t="inlineStr">
        <is>
          <t>55 - 60</t>
        </is>
      </c>
      <c r="D101" s="41" t="n">
        <v>57.5</v>
      </c>
      <c r="E101" s="42" t="n">
        <v>0</v>
      </c>
      <c r="F101" s="43">
        <f>D101*E101</f>
        <v/>
      </c>
      <c r="G101" s="33" t="inlineStr">
        <is>
          <t>tср = (55+60)/2 = 57.5 ч</t>
        </is>
      </c>
    </row>
    <row r="102" ht="20" customHeight="1">
      <c r="B102" s="32" t="n">
        <v>13</v>
      </c>
      <c r="C102" s="32" t="inlineStr">
        <is>
          <t>60 - 65</t>
        </is>
      </c>
      <c r="D102" s="41" t="n">
        <v>62.5</v>
      </c>
      <c r="E102" s="42" t="n">
        <v>3</v>
      </c>
      <c r="F102" s="43">
        <f>D102*E102</f>
        <v/>
      </c>
      <c r="G102" s="33" t="inlineStr">
        <is>
          <t>tср = (60+65)/2 = 62.5 ч</t>
        </is>
      </c>
    </row>
    <row r="103" ht="20" customHeight="1">
      <c r="B103" s="32" t="n">
        <v>14</v>
      </c>
      <c r="C103" s="32" t="inlineStr">
        <is>
          <t>65 - 70</t>
        </is>
      </c>
      <c r="D103" s="41" t="n">
        <v>67.5</v>
      </c>
      <c r="E103" s="42" t="n">
        <v>3</v>
      </c>
      <c r="F103" s="43">
        <f>D103*E103</f>
        <v/>
      </c>
      <c r="G103" s="33" t="inlineStr">
        <is>
          <t>tср = (65+70)/2 = 67.5 ч</t>
        </is>
      </c>
    </row>
    <row r="104" ht="20" customHeight="1">
      <c r="B104" s="32" t="n">
        <v>15</v>
      </c>
      <c r="C104" s="32" t="inlineStr">
        <is>
          <t>70 - 75</t>
        </is>
      </c>
      <c r="D104" s="41" t="n">
        <v>72.5</v>
      </c>
      <c r="E104" s="42" t="n">
        <v>3</v>
      </c>
      <c r="F104" s="43">
        <f>D104*E104</f>
        <v/>
      </c>
      <c r="G104" s="33" t="inlineStr">
        <is>
          <t>tср = (70+75)/2 = 72.5 ч</t>
        </is>
      </c>
    </row>
    <row r="105" ht="20" customHeight="1">
      <c r="B105" s="32" t="n">
        <v>16</v>
      </c>
      <c r="C105" s="32" t="inlineStr">
        <is>
          <t>75 - 80</t>
        </is>
      </c>
      <c r="D105" s="41" t="n">
        <v>77.5</v>
      </c>
      <c r="E105" s="42" t="n">
        <v>1</v>
      </c>
      <c r="F105" s="43">
        <f>D105*E105</f>
        <v/>
      </c>
      <c r="G105" s="33" t="inlineStr">
        <is>
          <t>tср = (75+80)/2 = 77.5 ч</t>
        </is>
      </c>
    </row>
    <row r="106" ht="22" customHeight="1">
      <c r="B106" s="44" t="inlineStr">
        <is>
          <t>ИТОГО (Сумма):</t>
        </is>
      </c>
      <c r="C106" s="45" t="n"/>
      <c r="D106" s="45" t="n"/>
      <c r="E106" s="46">
        <f>SUM(E90:E105)</f>
        <v/>
      </c>
      <c r="F106" s="47">
        <f>SUM(F90:F105)</f>
        <v/>
      </c>
      <c r="G106" s="48" t="inlineStr">
        <is>
          <t>N = 45; Σ(ni · tср.i) = 1427.5 ч·шт</t>
        </is>
      </c>
    </row>
    <row r="108" ht="20" customHeight="1">
      <c r="B108" s="27" t="inlineStr">
        <is>
          <t>Таблица 2. Расчет среднего времени безотказной работы по формуле (1.6)</t>
        </is>
      </c>
    </row>
    <row r="109" ht="24" customHeight="1">
      <c r="B109" s="35" t="inlineStr">
        <is>
          <t>Определяемый показатель</t>
        </is>
      </c>
      <c r="C109" s="35" t="inlineStr">
        <is>
          <t>Обозначение</t>
        </is>
      </c>
      <c r="D109" s="35" t="inlineStr">
        <is>
          <t>Математическая формула</t>
        </is>
      </c>
      <c r="E109" s="35" t="inlineStr">
        <is>
          <t>Значение (формула Excel)</t>
        </is>
      </c>
      <c r="F109" s="35" t="inlineStr">
        <is>
          <t>Ед. изм.</t>
        </is>
      </c>
      <c r="G109" s="35" t="inlineStr">
        <is>
          <t>Пояснение к результату</t>
        </is>
      </c>
    </row>
    <row r="110" ht="22" customHeight="1">
      <c r="B110" s="29" t="inlineStr">
        <is>
          <t>Сумма произведений Σ(ni · tср.i)</t>
        </is>
      </c>
      <c r="C110" s="30" t="inlineStr">
        <is>
          <t>Σ(ni·tср.i)</t>
        </is>
      </c>
      <c r="D110" s="36">
        <f>F106</f>
        <v/>
      </c>
      <c r="E110" s="49">
        <f>F106</f>
        <v/>
      </c>
      <c r="F110" s="32" t="inlineStr">
        <is>
          <t>ч·шт</t>
        </is>
      </c>
      <c r="G110" s="33" t="inlineStr">
        <is>
          <t>Суммарная наработка выборки</t>
        </is>
      </c>
    </row>
    <row r="111" ht="22" customHeight="1">
      <c r="B111" s="29" t="inlineStr">
        <is>
          <t>Объем выборки изделий</t>
        </is>
      </c>
      <c r="C111" s="30" t="inlineStr">
        <is>
          <t>N</t>
        </is>
      </c>
      <c r="D111" s="36">
        <f>E106</f>
        <v/>
      </c>
      <c r="E111" s="50">
        <f>E106</f>
        <v/>
      </c>
      <c r="F111" s="32" t="inlineStr">
        <is>
          <t>шт.</t>
        </is>
      </c>
      <c r="G111" s="33" t="inlineStr">
        <is>
          <t>Количество вышедших из строя изделий</t>
        </is>
      </c>
    </row>
    <row r="112" ht="22" customHeight="1">
      <c r="B112" s="29" t="inlineStr">
        <is>
          <t>Среднее время безотказной работы</t>
        </is>
      </c>
      <c r="C112" s="30" t="inlineStr">
        <is>
          <t>mt*</t>
        </is>
      </c>
      <c r="D112" s="36" t="inlineStr">
        <is>
          <t>Σ(ni·tср.i) / N</t>
        </is>
      </c>
      <c r="E112" s="23">
        <f>F106/E106</f>
        <v/>
      </c>
      <c r="F112" s="32" t="inlineStr">
        <is>
          <t>ч</t>
        </is>
      </c>
      <c r="G112" s="33" t="inlineStr">
        <is>
          <t>mt* = 1427.5 / 45 ≈ 31.72 ч (в слайде 31.7 ч)</t>
        </is>
      </c>
    </row>
    <row r="113" ht="24" customHeight="1">
      <c r="B113" s="38" t="inlineStr">
        <is>
          <t>ВЫВОД / ОТВЕТ: Статистическая оценка среднего времени безотказной работы образцов: mt* = 31,72 ч ≈ 31,7 ч.</t>
        </is>
      </c>
      <c r="C113" s="39" t="n"/>
      <c r="D113" s="39" t="n"/>
      <c r="E113" s="39" t="n"/>
      <c r="F113" s="39" t="n"/>
      <c r="G113" s="39" t="n"/>
    </row>
  </sheetData>
  <mergeCells count="20">
    <mergeCell ref="B2:G2"/>
    <mergeCell ref="B42:G42"/>
    <mergeCell ref="B61:G61"/>
    <mergeCell ref="B82:G82"/>
    <mergeCell ref="B7:G8"/>
    <mergeCell ref="B26:G27"/>
    <mergeCell ref="B43:G44"/>
    <mergeCell ref="B64:G64"/>
    <mergeCell ref="B86:G87"/>
    <mergeCell ref="B6:G6"/>
    <mergeCell ref="B85:G85"/>
    <mergeCell ref="B4:G4"/>
    <mergeCell ref="B113:G113"/>
    <mergeCell ref="B106:D106"/>
    <mergeCell ref="B25:G25"/>
    <mergeCell ref="B3:G3"/>
    <mergeCell ref="B22:G22"/>
    <mergeCell ref="B65:G66"/>
    <mergeCell ref="B39:G39"/>
    <mergeCell ref="B75:C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16" customWidth="1" min="3" max="3"/>
    <col width="36" customWidth="1" min="4" max="4"/>
    <col width="14" customWidth="1" min="5" max="5"/>
    <col width="14" customWidth="1" min="6" max="6"/>
    <col width="52" customWidth="1" min="7" max="7"/>
  </cols>
  <sheetData>
    <row r="2" ht="30" customHeight="1">
      <c r="B2" s="1" t="inlineStr">
        <is>
          <t>ТЕОРЕТИЧЕСКИЙ СПРАВОЧНИК — ХАРАКТЕРИСТИКИ НАДЕЖНОСТИ</t>
        </is>
      </c>
      <c r="C2" s="2" t="n"/>
      <c r="D2" s="2" t="n"/>
      <c r="E2" s="2" t="n"/>
      <c r="F2" s="2" t="n"/>
      <c r="G2" s="2" t="n"/>
    </row>
    <row r="3" ht="24" customHeight="1">
      <c r="B3" s="3" t="inlineStr">
        <is>
          <t>Основные формулы и определения статистической теории надежности (по ГОСТ 27.002 и материалам темы 1)</t>
        </is>
      </c>
      <c r="C3" s="4" t="n"/>
      <c r="D3" s="4" t="n"/>
      <c r="E3" s="4" t="n"/>
      <c r="F3" s="4" t="n"/>
      <c r="G3" s="4" t="n"/>
    </row>
    <row r="4" ht="20" customHeight="1">
      <c r="B4" s="5" t="inlineStr">
        <is>
          <t>Определения, обозначения, математические формулы и физический смысл</t>
        </is>
      </c>
      <c r="C4" s="4" t="n"/>
      <c r="D4" s="4" t="n"/>
      <c r="E4" s="4" t="n"/>
      <c r="F4" s="4" t="n"/>
      <c r="G4" s="4" t="n"/>
    </row>
    <row r="6" ht="25" customHeight="1">
      <c r="B6" s="6" t="inlineStr">
        <is>
          <t>СВОДНАЯ ТАБЛИЦА СТАТИСТИЧЕСКИХ ОЦЕНОК НАДЕЖНОСТИ</t>
        </is>
      </c>
    </row>
    <row r="7" ht="26" customHeight="1">
      <c r="B7" s="7" t="inlineStr">
        <is>
          <t>Показатель надежности</t>
        </is>
      </c>
      <c r="C7" s="7" t="inlineStr">
        <is>
          <t>Обозначение</t>
        </is>
      </c>
      <c r="D7" s="7" t="inlineStr">
        <is>
          <t>Математическая формула</t>
        </is>
      </c>
      <c r="E7" s="7" t="inlineStr">
        <is>
          <t>Номер формулы</t>
        </is>
      </c>
      <c r="F7" s="7" t="inlineStr">
        <is>
          <t>Ед. изм.</t>
        </is>
      </c>
      <c r="G7" s="7" t="inlineStr">
        <is>
          <t>Физический смысл и примечание</t>
        </is>
      </c>
    </row>
    <row r="8" ht="26" customHeight="1">
      <c r="B8" s="58" t="inlineStr">
        <is>
          <t>Вероятность безотказной работы</t>
        </is>
      </c>
      <c r="C8" s="8" t="inlineStr">
        <is>
          <t>p(t)</t>
        </is>
      </c>
      <c r="D8" s="10" t="inlineStr">
        <is>
          <t>p(t) = n(t) / N</t>
        </is>
      </c>
      <c r="E8" s="8" t="inlineStr">
        <is>
          <t>(1.1)</t>
        </is>
      </c>
      <c r="F8" s="12" t="inlineStr">
        <is>
          <t>— (безразм.)</t>
        </is>
      </c>
      <c r="G8" s="59" t="inlineStr">
        <is>
          <t>Вероятность того, что в пределах заданной наработки t отказ объекта не возникнет.</t>
        </is>
      </c>
    </row>
    <row r="9" ht="26" customHeight="1">
      <c r="B9" s="60" t="inlineStr">
        <is>
          <t>Вероятность отказа</t>
        </is>
      </c>
      <c r="C9" s="15" t="inlineStr">
        <is>
          <t>q(t)</t>
        </is>
      </c>
      <c r="D9" s="17" t="inlineStr">
        <is>
          <t>q(t) = [N - n(t)] / N = 1 - p(t)</t>
        </is>
      </c>
      <c r="E9" s="15" t="inlineStr">
        <is>
          <t>(1.2)</t>
        </is>
      </c>
      <c r="F9" s="18" t="inlineStr">
        <is>
          <t>— (безразм.)</t>
        </is>
      </c>
      <c r="G9" s="61" t="inlineStr">
        <is>
          <t>Вероятность того, что изделие откажет хотя бы один раз к моменту времени t.</t>
        </is>
      </c>
    </row>
    <row r="10" ht="26" customHeight="1">
      <c r="B10" s="58" t="inlineStr">
        <is>
          <t>Частота отказов (плотность распределения)</t>
        </is>
      </c>
      <c r="C10" s="8" t="inlineStr">
        <is>
          <t>f(t)</t>
        </is>
      </c>
      <c r="D10" s="10" t="inlineStr">
        <is>
          <t>f(t) = Δn(t) / (N · Δt)</t>
        </is>
      </c>
      <c r="E10" s="8" t="inlineStr">
        <is>
          <t>(1.3)</t>
        </is>
      </c>
      <c r="F10" s="12" t="inlineStr">
        <is>
          <t>1/ч (ч⁻¹)</t>
        </is>
      </c>
      <c r="G10" s="59" t="inlineStr">
        <is>
          <t>Отношение числа отказавших изделий на участке (t, t+Δt) к произведению N на Δt.</t>
        </is>
      </c>
    </row>
    <row r="11" ht="26" customHeight="1">
      <c r="B11" s="60" t="inlineStr">
        <is>
          <t>Интенсивность отказов</t>
        </is>
      </c>
      <c r="C11" s="15" t="inlineStr">
        <is>
          <t>λ(t)</t>
        </is>
      </c>
      <c r="D11" s="17" t="inlineStr">
        <is>
          <t>λ(t) = Δn(t) / [n(t) · Δt]</t>
        </is>
      </c>
      <c r="E11" s="15" t="inlineStr">
        <is>
          <t>(1.4)</t>
        </is>
      </c>
      <c r="F11" s="18" t="inlineStr">
        <is>
          <t>1/ч (ч⁻¹)</t>
        </is>
      </c>
      <c r="G11" s="61" t="inlineStr">
        <is>
          <t>Условная плотность вероятности возникновения отказа для объекта, дошедшего работоспособным до момента t.</t>
        </is>
      </c>
    </row>
    <row r="12" ht="26" customHeight="1">
      <c r="B12" s="58" t="inlineStr">
        <is>
          <t>Среднее время безотказной работы (индивидуальное)</t>
        </is>
      </c>
      <c r="C12" s="8" t="inlineStr">
        <is>
          <t>mt*</t>
        </is>
      </c>
      <c r="D12" s="10" t="inlineStr">
        <is>
          <t>mt* = (1 / N) · Σ ti</t>
        </is>
      </c>
      <c r="E12" s="8" t="inlineStr">
        <is>
          <t>(1.5)</t>
        </is>
      </c>
      <c r="F12" s="12" t="inlineStr">
        <is>
          <t>ч, мин, с</t>
        </is>
      </c>
      <c r="G12" s="59" t="inlineStr">
        <is>
          <t>Математическое ожидание наработки изделия до первого отказа при известных моментах отказа всех N изделий.</t>
        </is>
      </c>
    </row>
    <row r="13" ht="26" customHeight="1">
      <c r="B13" s="60" t="inlineStr">
        <is>
          <t>Среднее время безотказной работы (группированное)</t>
        </is>
      </c>
      <c r="C13" s="15" t="inlineStr">
        <is>
          <t>mt*</t>
        </is>
      </c>
      <c r="D13" s="17" t="inlineStr">
        <is>
          <t>mt* ≈ (1 / N) · Σ (ni · tср.i)</t>
        </is>
      </c>
      <c r="E13" s="15" t="inlineStr">
        <is>
          <t>(1.6)</t>
        </is>
      </c>
      <c r="F13" s="18" t="inlineStr">
        <is>
          <t>ч, мин, с</t>
        </is>
      </c>
      <c r="G13" s="61" t="inlineStr">
        <is>
          <t>Оценка наработки по интервальному ряду, где tср.i = (ti-1 + ti)/2 — середина i-го интервала.</t>
        </is>
      </c>
    </row>
    <row r="14" ht="26" customHeight="1">
      <c r="B14" s="58" t="inlineStr">
        <is>
          <t>Выборочная дисперсия времени безотказной работы</t>
        </is>
      </c>
      <c r="C14" s="8" t="inlineStr">
        <is>
          <t>Dt*</t>
        </is>
      </c>
      <c r="D14" s="10" t="inlineStr">
        <is>
          <t>Dt* = [1 / (N - 1)] · Σ (ti - mt*)^2</t>
        </is>
      </c>
      <c r="E14" s="8" t="inlineStr">
        <is>
          <t>(1.7)</t>
        </is>
      </c>
      <c r="F14" s="12" t="inlineStr">
        <is>
          <t>ч², с²</t>
        </is>
      </c>
      <c r="G14" s="59" t="inlineStr">
        <is>
          <t>Характеризует рассеяние (разброс) времени безотказной работы изделий относительно среднего mt*.</t>
        </is>
      </c>
    </row>
    <row r="15" ht="26" customHeight="1">
      <c r="B15" s="60" t="inlineStr">
        <is>
          <t>Среднее квадратическое отклонение (СКО)</t>
        </is>
      </c>
      <c r="C15" s="15" t="inlineStr">
        <is>
          <t>σt</t>
        </is>
      </c>
      <c r="D15" s="17" t="inlineStr">
        <is>
          <t>σt = SQRT(Dt*)</t>
        </is>
      </c>
      <c r="E15" s="15" t="inlineStr">
        <is>
          <t>—</t>
        </is>
      </c>
      <c r="F15" s="18" t="inlineStr">
        <is>
          <t>ч, мин, с</t>
        </is>
      </c>
      <c r="G15" s="61" t="inlineStr">
        <is>
          <t>Абсолютная мера разброса наработок до отказа в тех же единицах измерения, что и наработка.</t>
        </is>
      </c>
    </row>
    <row r="16" ht="26" customHeight="1">
      <c r="B16" s="58" t="inlineStr">
        <is>
          <t>Среднее время восстановления</t>
        </is>
      </c>
      <c r="C16" s="8" t="inlineStr">
        <is>
          <t>m_в (mt)</t>
        </is>
      </c>
      <c r="D16" s="10" t="inlineStr">
        <is>
          <t>m_в = (1 / N) · Σ tв.i</t>
        </is>
      </c>
      <c r="E16" s="8" t="inlineStr">
        <is>
          <t>—</t>
        </is>
      </c>
      <c r="F16" s="12" t="inlineStr">
        <is>
          <t>мин, ч</t>
        </is>
      </c>
      <c r="G16" s="59" t="inlineStr">
        <is>
          <t>Математическое ожидание времени восстановления работоспособного состояния объекта после отказа.</t>
        </is>
      </c>
    </row>
    <row r="18" ht="25" customHeight="1">
      <c r="B18" s="6" t="inlineStr">
        <is>
          <t>ОСНОВНЫЕ СООТНОШЕНИЯ МЕЖДУ ПОКАЗАТЕЛЯМИ НАДЕЖНОСТИ</t>
        </is>
      </c>
    </row>
    <row r="19" ht="24" customHeight="1">
      <c r="B19" s="62" t="inlineStr">
        <is>
          <t>Связь вероятности безотказной работы и вероятности отказа:</t>
        </is>
      </c>
      <c r="C19" s="63" t="inlineStr">
        <is>
          <t>p(t) + q(t) = 1  &lt;=&gt;  p(t) = 1 - q(t)  &lt;=&gt;  q(t) = 1 - p(t)</t>
        </is>
      </c>
      <c r="D19" s="64" t="n"/>
      <c r="E19" s="64" t="n"/>
      <c r="F19" s="64" t="n"/>
      <c r="G19" s="64" t="n"/>
    </row>
    <row r="20" ht="24" customHeight="1">
      <c r="B20" s="62" t="inlineStr">
        <is>
          <t>Связь интенсивности отказов и частоты отказов:</t>
        </is>
      </c>
      <c r="C20" s="63" t="inlineStr">
        <is>
          <t>λ(t) = f(t) / p(t)  &lt;=&gt;  f(t) = λ(t) · p(t)</t>
        </is>
      </c>
      <c r="D20" s="64" t="n"/>
      <c r="E20" s="64" t="n"/>
      <c r="F20" s="64" t="n"/>
      <c r="G20" s="64" t="n"/>
    </row>
    <row r="21" ht="24" customHeight="1">
      <c r="B21" s="62" t="inlineStr">
        <is>
          <t>Для экспоненциального закона распределения (λ = const):</t>
        </is>
      </c>
      <c r="C21" s="63" t="inlineStr">
        <is>
          <t>p(t) = exp(-λ · t);   f(t) = λ · exp(-λ · t);   mt = 1 / λ</t>
        </is>
      </c>
      <c r="D21" s="64" t="n"/>
      <c r="E21" s="64" t="n"/>
      <c r="F21" s="64" t="n"/>
      <c r="G21" s="64" t="n"/>
    </row>
    <row r="22" ht="24" customHeight="1">
      <c r="B22" s="62" t="inlineStr">
        <is>
          <t>Для последовательного соединения независимых блоков по надежности:</t>
        </is>
      </c>
      <c r="C22" s="63" t="inlineStr">
        <is>
          <t>λ_сист = Σ λ_i;   mt_сист = 1 / λ_сист = 1 / (Σ (1 / mt_i))</t>
        </is>
      </c>
      <c r="D22" s="64" t="n"/>
      <c r="E22" s="64" t="n"/>
      <c r="F22" s="64" t="n"/>
      <c r="G22" s="64" t="n"/>
    </row>
  </sheetData>
  <mergeCells count="7">
    <mergeCell ref="B3:G3"/>
    <mergeCell ref="B2:G2"/>
    <mergeCell ref="C21:G21"/>
    <mergeCell ref="C20:G20"/>
    <mergeCell ref="B4:G4"/>
    <mergeCell ref="C19:G19"/>
    <mergeCell ref="C22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2026-09-29T05:05:52Z</dcterms:created>
  <dcterms:modified xmlns:dcterms="http://purl.org/dc/terms/" xmlns:xsi="http://www.w3.org/2001/XMLSchema-instance" xsi:type="dcterms:W3CDTF">2026-09-29T05:05:52Z</dcterms:modified>
</cp:coreProperties>
</file>