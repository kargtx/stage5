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вая ведомость" sheetId="1" state="visible" r:id="rId1"/>
    <sheet xmlns:r="http://schemas.openxmlformats.org/officeDocument/2006/relationships" name="Расчетная часть (№8-1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#,##0.####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E8F5E9"/>
      <sz val="10"/>
    </font>
    <font>
      <name val="Calibri"/>
      <color rgb="00C8E6C9"/>
      <sz val="9"/>
    </font>
    <font>
      <name val="Calibri"/>
      <b val="1"/>
      <color rgb="00FFFFFF"/>
      <sz val="10"/>
    </font>
    <font>
      <name val="Calibri"/>
      <i val="1"/>
      <color rgb="004A5568"/>
      <sz val="9"/>
    </font>
    <font>
      <name val="Calibri"/>
      <b val="1"/>
      <color rgb="00202020"/>
      <sz val="9"/>
    </font>
    <font>
      <name val="Calibri"/>
      <b val="1"/>
      <color rgb="00FFFFFF"/>
      <sz val="9"/>
    </font>
    <font>
      <name val="Calibri"/>
      <color rgb="00202020"/>
      <sz val="9"/>
    </font>
    <font>
      <name val="Calibri"/>
      <i val="1"/>
      <color rgb="002D5A27"/>
      <sz val="9"/>
    </font>
    <font>
      <name val="Calibri"/>
      <b val="1"/>
      <color rgb="001B5E20"/>
      <sz val="10"/>
    </font>
    <font>
      <name val="Calibri"/>
      <b val="1"/>
      <color rgb="001B5E20"/>
      <sz val="9"/>
    </font>
    <font>
      <name val="Calibri"/>
      <b val="1"/>
      <color rgb="002D5A27"/>
      <sz val="11"/>
    </font>
  </fonts>
  <fills count="9">
    <fill>
      <patternFill/>
    </fill>
    <fill>
      <patternFill patternType="gray125"/>
    </fill>
    <fill>
      <patternFill patternType="solid">
        <fgColor rgb="002D5A27"/>
        <bgColor rgb="002D5A27"/>
      </patternFill>
    </fill>
    <fill>
      <patternFill patternType="solid">
        <fgColor rgb="003E7A36"/>
        <bgColor rgb="003E7A36"/>
      </patternFill>
    </fill>
    <fill>
      <patternFill patternType="solid">
        <fgColor rgb="00F2F7F2"/>
        <bgColor rgb="00F2F7F2"/>
      </patternFill>
    </fill>
    <fill>
      <patternFill patternType="solid">
        <fgColor rgb="004E8A46"/>
        <bgColor rgb="004E8A46"/>
      </patternFill>
    </fill>
    <fill>
      <patternFill patternType="solid">
        <fgColor rgb="00D9EED9"/>
        <bgColor rgb="00D9EED9"/>
      </patternFill>
    </fill>
    <fill>
      <patternFill patternType="solid">
        <fgColor rgb="00E8F5E9"/>
        <bgColor rgb="00E8F5E9"/>
      </patternFill>
    </fill>
    <fill>
      <patternFill patternType="solid">
        <fgColor rgb="00F9FCF9"/>
        <bgColor rgb="00F9FCF9"/>
      </patternFill>
    </fill>
  </fills>
  <borders count="4">
    <border>
      <left/>
      <right/>
      <top/>
      <bottom/>
      <diagonal/>
    </border>
    <border>
      <left style="thin">
        <color rgb="00C2D6C2"/>
      </left>
      <right style="thin">
        <color rgb="00C2D6C2"/>
      </right>
      <top style="thin">
        <color rgb="00C2D6C2"/>
      </top>
      <bottom style="thin">
        <color rgb="00C2D6C2"/>
      </bottom>
    </border>
    <border>
      <left style="thin">
        <color rgb="004E8A46"/>
      </left>
      <right style="thin">
        <color rgb="004E8A46"/>
      </right>
      <top style="thin">
        <color rgb="004E8A46"/>
      </top>
      <bottom style="thin">
        <color rgb="004E8A46"/>
      </bottom>
    </border>
    <border>
      <left style="thin">
        <color rgb="00C2D6C2"/>
      </left>
      <right style="thin">
        <color rgb="00C2D6C2"/>
      </right>
      <top style="thin">
        <color rgb="00C2D6C2"/>
      </top>
      <bottom style="double">
        <color rgb="002D5A27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12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165" fontId="10" fillId="6" borderId="2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2" fontId="10" fillId="6" borderId="2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164" fontId="10" fillId="6" borderId="2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6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0" borderId="1" pivotButton="0" quotePrefix="0" xfId="0"/>
    <xf numFmtId="3" fontId="6" fillId="0" borderId="1" applyAlignment="1" pivotButton="0" quotePrefix="0" xfId="0">
      <alignment horizontal="right" vertical="center"/>
    </xf>
    <xf numFmtId="11" fontId="6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66" fontId="6" fillId="0" borderId="1" applyAlignment="1" pivotButton="0" quotePrefix="0" xfId="0">
      <alignment horizontal="right" vertical="center"/>
    </xf>
    <xf numFmtId="0" fontId="0" fillId="3" borderId="0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6" fillId="4" borderId="3" applyAlignment="1" pivotButton="0" quotePrefix="0" xfId="0">
      <alignment horizontal="right" vertical="center"/>
    </xf>
    <xf numFmtId="0" fontId="0" fillId="4" borderId="3" pivotButton="0" quotePrefix="0" xfId="0"/>
    <xf numFmtId="164" fontId="10" fillId="6" borderId="3" applyAlignment="1" pivotButton="0" quotePrefix="0" xfId="0">
      <alignment horizontal="right" vertical="center"/>
    </xf>
    <xf numFmtId="0" fontId="6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0" customWidth="1" min="3" max="3"/>
    <col width="14" customWidth="1" min="4" max="4"/>
    <col width="24" customWidth="1" min="5" max="5"/>
    <col width="16" customWidth="1" min="6" max="6"/>
    <col width="12" customWidth="1" min="7" max="7"/>
  </cols>
  <sheetData>
    <row r="2" ht="24" customHeight="1">
      <c r="B2" s="1" t="inlineStr">
        <is>
          <t>ИТОГОВАЯ ВЕДОМОСТЬ — ПРАКТИЧЕСКАЯ РАБОТА № 3</t>
        </is>
      </c>
      <c r="C2" s="2" t="n"/>
      <c r="D2" s="2" t="n"/>
      <c r="E2" s="2" t="n"/>
      <c r="F2" s="2" t="n"/>
      <c r="G2" s="2" t="n"/>
    </row>
    <row r="3" ht="18" customHeight="1">
      <c r="B3" s="3" t="inlineStr">
        <is>
          <t>Студент: Гарифуллин  |  Вариант / Задания № 8 – 13</t>
        </is>
      </c>
      <c r="C3" s="4" t="n"/>
      <c r="D3" s="4" t="n"/>
      <c r="E3" s="4" t="n"/>
      <c r="F3" s="4" t="n"/>
      <c r="G3" s="4" t="n"/>
    </row>
    <row r="4" ht="18" customHeight="1">
      <c r="B4" s="5" t="inlineStr">
        <is>
          <t>Сводная таблица результатов аналитического расчета надежности системы</t>
        </is>
      </c>
      <c r="C4" s="4" t="n"/>
      <c r="D4" s="4" t="n"/>
      <c r="E4" s="4" t="n"/>
      <c r="F4" s="4" t="n"/>
      <c r="G4" s="4" t="n"/>
    </row>
    <row r="6" ht="20" customHeight="1">
      <c r="B6" s="6" t="inlineStr">
        <is>
          <t>Сводные числовые результаты расчета последовательных систем:</t>
        </is>
      </c>
    </row>
    <row r="7" ht="22" customHeight="1">
      <c r="B7" s="7" t="inlineStr">
        <is>
          <t>№ задания</t>
        </is>
      </c>
      <c r="C7" s="7" t="inlineStr">
        <is>
          <t>Объект расчета</t>
        </is>
      </c>
      <c r="D7" s="7" t="inlineStr">
        <is>
          <t>Показатель</t>
        </is>
      </c>
      <c r="E7" s="7" t="inlineStr">
        <is>
          <t>Формула</t>
        </is>
      </c>
      <c r="F7" s="7" t="inlineStr">
        <is>
          <t>Результат</t>
        </is>
      </c>
      <c r="G7" s="7" t="inlineStr">
        <is>
          <t>Ед. изм.</t>
        </is>
      </c>
    </row>
    <row r="8" ht="19" customHeight="1">
      <c r="B8" s="8" t="inlineStr">
        <is>
          <t>Задание 8</t>
        </is>
      </c>
      <c r="C8" s="9" t="inlineStr">
        <is>
          <t>Аппаратура связи (2000 элементов, t=200 ч)</t>
        </is>
      </c>
      <c r="D8" s="8" t="inlineStr">
        <is>
          <t>Pc(200)</t>
        </is>
      </c>
      <c r="E8" s="10" t="inlineStr">
        <is>
          <t>Pc = exp(-λc·t)</t>
        </is>
      </c>
      <c r="F8" s="11">
        <f>'Расчетная часть (№8-13)'!D18</f>
        <v/>
      </c>
      <c r="G8" s="12" t="inlineStr">
        <is>
          <t>—</t>
        </is>
      </c>
    </row>
    <row r="9" ht="19" customHeight="1">
      <c r="B9" s="13" t="inlineStr">
        <is>
          <t>Задание 8</t>
        </is>
      </c>
      <c r="C9" s="14" t="inlineStr">
        <is>
          <t>Аппаратура связи (2000 элементов, t=200 ч)</t>
        </is>
      </c>
      <c r="D9" s="13" t="inlineStr">
        <is>
          <t>mtc</t>
        </is>
      </c>
      <c r="E9" s="15" t="inlineStr">
        <is>
          <t>mtc = 1 / λc</t>
        </is>
      </c>
      <c r="F9" s="16">
        <f>'Расчетная часть (№8-13)'!D19</f>
        <v/>
      </c>
      <c r="G9" s="17" t="inlineStr">
        <is>
          <t>ч</t>
        </is>
      </c>
    </row>
    <row r="10" ht="19" customHeight="1">
      <c r="B10" s="8" t="inlineStr">
        <is>
          <t>Задание 9</t>
        </is>
      </c>
      <c r="C10" s="9" t="inlineStr">
        <is>
          <t>ЭВМ из 200000 элементов (сутки)</t>
        </is>
      </c>
      <c r="D10" s="8" t="inlineStr">
        <is>
          <t>Pc(24)</t>
        </is>
      </c>
      <c r="E10" s="10" t="inlineStr">
        <is>
          <t>Pc = exp(-λc·t)</t>
        </is>
      </c>
      <c r="F10" s="11">
        <f>'Расчетная часть (№8-13)'!D34</f>
        <v/>
      </c>
      <c r="G10" s="12" t="inlineStr">
        <is>
          <t>—</t>
        </is>
      </c>
    </row>
    <row r="11" ht="19" customHeight="1">
      <c r="B11" s="13" t="inlineStr">
        <is>
          <t>Задание 9</t>
        </is>
      </c>
      <c r="C11" s="14" t="inlineStr">
        <is>
          <t>ЭВМ из 200000 элементов (сутки)</t>
        </is>
      </c>
      <c r="D11" s="13" t="inlineStr">
        <is>
          <t>mtc</t>
        </is>
      </c>
      <c r="E11" s="15" t="inlineStr">
        <is>
          <t>mtc = 1 / λc</t>
        </is>
      </c>
      <c r="F11" s="16">
        <f>'Расчетная часть (№8-13)'!D35</f>
        <v/>
      </c>
      <c r="G11" s="17" t="inlineStr">
        <is>
          <t>ч</t>
        </is>
      </c>
    </row>
    <row r="12" ht="19" customHeight="1">
      <c r="B12" s="8" t="inlineStr">
        <is>
          <t>Задание 10</t>
        </is>
      </c>
      <c r="C12" s="9" t="inlineStr">
        <is>
          <t>Система управления (6000 элементов, t=50 ч)</t>
        </is>
      </c>
      <c r="D12" s="8" t="inlineStr">
        <is>
          <t>Pc(50)</t>
        </is>
      </c>
      <c r="E12" s="10" t="inlineStr">
        <is>
          <t>Pc = exp(-λc·t)</t>
        </is>
      </c>
      <c r="F12" s="11">
        <f>'Расчетная часть (№8-13)'!D50</f>
        <v/>
      </c>
      <c r="G12" s="12" t="inlineStr">
        <is>
          <t>—</t>
        </is>
      </c>
    </row>
    <row r="13" ht="19" customHeight="1">
      <c r="B13" s="13" t="inlineStr">
        <is>
          <t>Задание 10</t>
        </is>
      </c>
      <c r="C13" s="14" t="inlineStr">
        <is>
          <t>Система управления (6000 элементов, t=50 ч)</t>
        </is>
      </c>
      <c r="D13" s="13" t="inlineStr">
        <is>
          <t>mtc</t>
        </is>
      </c>
      <c r="E13" s="15" t="inlineStr">
        <is>
          <t>mtc = 1 / λc</t>
        </is>
      </c>
      <c r="F13" s="16">
        <f>'Расчетная часть (№8-13)'!D51</f>
        <v/>
      </c>
      <c r="G13" s="17" t="inlineStr">
        <is>
          <t>ч</t>
        </is>
      </c>
    </row>
    <row r="14" ht="19" customHeight="1">
      <c r="B14" s="8" t="inlineStr">
        <is>
          <t>Задание 11</t>
        </is>
      </c>
      <c r="C14" s="9" t="inlineStr">
        <is>
          <t>Прибор из 5 узлов</t>
        </is>
      </c>
      <c r="D14" s="8" t="inlineStr">
        <is>
          <t>Pc (точная)</t>
        </is>
      </c>
      <c r="E14" s="10" t="inlineStr">
        <is>
          <t>Pc = Π Pi</t>
        </is>
      </c>
      <c r="F14" s="11">
        <f>'Расчетная часть (№8-13)'!D67</f>
        <v/>
      </c>
      <c r="G14" s="12" t="inlineStr">
        <is>
          <t>—</t>
        </is>
      </c>
    </row>
    <row r="15" ht="19" customHeight="1">
      <c r="B15" s="13" t="inlineStr">
        <is>
          <t>Задание 11</t>
        </is>
      </c>
      <c r="C15" s="14" t="inlineStr">
        <is>
          <t>Прибор из 5 узлов</t>
        </is>
      </c>
      <c r="D15" s="13" t="inlineStr">
        <is>
          <t>Pc (прибл.)</t>
        </is>
      </c>
      <c r="E15" s="15" t="inlineStr">
        <is>
          <t>Pc ≈ 1 - Σ qi</t>
        </is>
      </c>
      <c r="F15" s="11">
        <f>'Расчетная часть (№8-13)'!D68</f>
        <v/>
      </c>
      <c r="G15" s="17" t="inlineStr">
        <is>
          <t>—</t>
        </is>
      </c>
    </row>
    <row r="16" ht="19" customHeight="1">
      <c r="B16" s="8" t="inlineStr">
        <is>
          <t>Задание 12</t>
        </is>
      </c>
      <c r="C16" s="9" t="inlineStr">
        <is>
          <t>Система из 5 приборов (mti = {83, 220, 280, 400, 700})</t>
        </is>
      </c>
      <c r="D16" s="8" t="inlineStr">
        <is>
          <t>λc</t>
        </is>
      </c>
      <c r="E16" s="10" t="inlineStr">
        <is>
          <t>λc = Σ(1/mti)</t>
        </is>
      </c>
      <c r="F16" s="18">
        <f>'Расчетная часть (№8-13)'!E81</f>
        <v/>
      </c>
      <c r="G16" s="12" t="inlineStr">
        <is>
          <t>1/ч</t>
        </is>
      </c>
    </row>
    <row r="17" ht="19" customHeight="1">
      <c r="B17" s="13" t="inlineStr">
        <is>
          <t>Задание 12</t>
        </is>
      </c>
      <c r="C17" s="14" t="inlineStr">
        <is>
          <t>Система из 5 приборов (mti = {83, 220, 280, 400, 700})</t>
        </is>
      </c>
      <c r="D17" s="13" t="inlineStr">
        <is>
          <t>mtc</t>
        </is>
      </c>
      <c r="E17" s="15" t="inlineStr">
        <is>
          <t>mtc = 1 / λc</t>
        </is>
      </c>
      <c r="F17" s="16">
        <f>'Расчетная часть (№8-13)'!D85</f>
        <v/>
      </c>
      <c r="G17" s="17" t="inlineStr">
        <is>
          <t>ч</t>
        </is>
      </c>
    </row>
    <row r="18" ht="19" customHeight="1">
      <c r="B18" s="8" t="inlineStr">
        <is>
          <t>Задание 13</t>
        </is>
      </c>
      <c r="C18" s="9" t="inlineStr">
        <is>
          <t>5 блоков с Pi={0.98..0.985} за 50 ч</t>
        </is>
      </c>
      <c r="D18" s="8" t="inlineStr">
        <is>
          <t>mtc</t>
        </is>
      </c>
      <c r="E18" s="10" t="inlineStr">
        <is>
          <t>mtc = -t / ln(Pc)</t>
        </is>
      </c>
      <c r="F18" s="16">
        <f>'Расчетная часть (№8-13)'!D104</f>
        <v/>
      </c>
      <c r="G18" s="12" t="inlineStr">
        <is>
          <t>ч</t>
        </is>
      </c>
    </row>
  </sheetData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0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22" customWidth="1" min="4" max="4"/>
    <col width="14" customWidth="1" min="5" max="5"/>
    <col width="18" customWidth="1" min="6" max="6"/>
  </cols>
  <sheetData>
    <row r="2" ht="24" customHeight="1">
      <c r="B2" s="1" t="inlineStr">
        <is>
          <t>РАСЧЕТНАЯ ЧАСТЬ ПРАКТИЧЕСКОЙ РАБОТЫ № 3 (ЗАДАНИЯ 8 – 13)</t>
        </is>
      </c>
      <c r="C2" s="2" t="n"/>
      <c r="D2" s="2" t="n"/>
      <c r="E2" s="2" t="n"/>
      <c r="F2" s="2" t="n"/>
    </row>
    <row r="3" ht="18" customHeight="1">
      <c r="B3" s="3" t="inlineStr">
        <is>
          <t>Последовательное соединение элементов в систему  |  Студент: Гарифуллин</t>
        </is>
      </c>
      <c r="C3" s="4" t="n"/>
      <c r="D3" s="4" t="n"/>
      <c r="E3" s="4" t="n"/>
      <c r="F3" s="4" t="n"/>
    </row>
    <row r="4" ht="18" customHeight="1">
      <c r="B4" s="5" t="inlineStr">
        <is>
          <t>Расчет показателей надежности формулами Excel со ссылками на исходные ячейки</t>
        </is>
      </c>
      <c r="C4" s="4" t="n"/>
      <c r="D4" s="4" t="n"/>
      <c r="E4" s="4" t="n"/>
      <c r="F4" s="4" t="n"/>
    </row>
    <row r="6" ht="20" customHeight="1">
      <c r="B6" s="19" t="inlineStr">
        <is>
          <t>Задание 8. Аппаратура связи (2000 элементов, t = 200 ч)</t>
        </is>
      </c>
      <c r="C6" s="4" t="n"/>
      <c r="D6" s="4" t="n"/>
      <c r="E6" s="4" t="n"/>
      <c r="F6" s="4" t="n"/>
    </row>
    <row r="7" ht="16" customHeight="1">
      <c r="B7" s="20" t="inlineStr">
        <is>
          <t>Условие задания: Аппаратура связи: n = 2000 элементов, λср = 0,33∙10⁻⁵ ч⁻¹. Определить Pc(200) и mtc.</t>
        </is>
      </c>
      <c r="C7" s="21" t="n"/>
      <c r="D7" s="21" t="n"/>
      <c r="E7" s="21" t="n"/>
      <c r="F7" s="21" t="n"/>
    </row>
    <row r="8" ht="16" customHeight="1">
      <c r="B8" s="21" t="n"/>
      <c r="C8" s="21" t="n"/>
      <c r="D8" s="21" t="n"/>
      <c r="E8" s="21" t="n"/>
      <c r="F8" s="21" t="n"/>
    </row>
    <row r="9">
      <c r="B9" s="22" t="inlineStr">
        <is>
          <t>1. Исходные данные:</t>
        </is>
      </c>
    </row>
    <row r="10" ht="18" customHeight="1">
      <c r="B10" s="23" t="inlineStr">
        <is>
          <t>Параметр</t>
        </is>
      </c>
      <c r="C10" s="23" t="inlineStr">
        <is>
          <t>Обозначение</t>
        </is>
      </c>
      <c r="D10" s="23" t="inlineStr">
        <is>
          <t>Значение</t>
        </is>
      </c>
      <c r="E10" s="23" t="inlineStr">
        <is>
          <t>Размерность</t>
        </is>
      </c>
    </row>
    <row r="11" ht="18" customHeight="1">
      <c r="B11" s="24" t="inlineStr">
        <is>
          <t>Число элементов</t>
        </is>
      </c>
      <c r="C11" s="13" t="inlineStr">
        <is>
          <t>n</t>
        </is>
      </c>
      <c r="D11" s="25" t="n">
        <v>2000</v>
      </c>
      <c r="E11" s="17" t="inlineStr">
        <is>
          <t>шт.</t>
        </is>
      </c>
    </row>
    <row r="12" ht="18" customHeight="1">
      <c r="B12" s="24" t="inlineStr">
        <is>
          <t>Интенсивность λср</t>
        </is>
      </c>
      <c r="C12" s="13" t="inlineStr">
        <is>
          <t>l_elem</t>
        </is>
      </c>
      <c r="D12" s="26" t="n">
        <v>3.3e-06</v>
      </c>
      <c r="E12" s="17" t="inlineStr">
        <is>
          <t>1/ч</t>
        </is>
      </c>
    </row>
    <row r="13" ht="18" customHeight="1">
      <c r="B13" s="24" t="inlineStr">
        <is>
          <t>Время t</t>
        </is>
      </c>
      <c r="C13" s="13" t="inlineStr">
        <is>
          <t>t</t>
        </is>
      </c>
      <c r="D13" s="25" t="n">
        <v>200</v>
      </c>
      <c r="E13" s="17" t="inlineStr">
        <is>
          <t>ч</t>
        </is>
      </c>
    </row>
    <row r="15">
      <c r="B15" s="22" t="inlineStr">
        <is>
          <t>2. Формульный расчет:</t>
        </is>
      </c>
    </row>
    <row r="16" ht="18" customHeight="1">
      <c r="B16" s="23" t="inlineStr">
        <is>
          <t>Искомый показатель</t>
        </is>
      </c>
      <c r="C16" s="23" t="inlineStr">
        <is>
          <t>Матем. формула</t>
        </is>
      </c>
      <c r="D16" s="23" t="inlineStr">
        <is>
          <t>Значение в Excel</t>
        </is>
      </c>
      <c r="E16" s="23" t="inlineStr">
        <is>
          <t>Размерность</t>
        </is>
      </c>
    </row>
    <row r="17" ht="19" customHeight="1">
      <c r="B17" s="24" t="inlineStr">
        <is>
          <t>Интенсивность системы λc</t>
        </is>
      </c>
      <c r="C17" s="27" t="inlineStr">
        <is>
          <t>n · λср</t>
        </is>
      </c>
      <c r="D17" s="18">
        <f>D11*D12</f>
        <v/>
      </c>
      <c r="E17" s="17" t="inlineStr">
        <is>
          <t>1/ч</t>
        </is>
      </c>
    </row>
    <row r="18" ht="19" customHeight="1">
      <c r="B18" s="24" t="inlineStr">
        <is>
          <t>Вероятность безотказной работы</t>
        </is>
      </c>
      <c r="C18" s="27" t="inlineStr">
        <is>
          <t>exp(-λc·t)</t>
        </is>
      </c>
      <c r="D18" s="11">
        <f>EXP(-D17*D13)</f>
        <v/>
      </c>
      <c r="E18" s="17" t="inlineStr">
        <is>
          <t>—</t>
        </is>
      </c>
    </row>
    <row r="19" ht="19" customHeight="1">
      <c r="B19" s="24" t="inlineStr">
        <is>
          <t>Среднее время работы системы</t>
        </is>
      </c>
      <c r="C19" s="27" t="inlineStr">
        <is>
          <t>1 / λc</t>
        </is>
      </c>
      <c r="D19" s="16">
        <f>1/D17</f>
        <v/>
      </c>
      <c r="E19" s="17" t="inlineStr">
        <is>
          <t>ч</t>
        </is>
      </c>
    </row>
    <row r="20" ht="20" customHeight="1">
      <c r="B20" s="28" t="inlineStr">
        <is>
          <t>Ответ: Pc(200) = 0,2671 (26,71%); mtc = 151,52 ч.</t>
        </is>
      </c>
      <c r="C20" s="29" t="n"/>
      <c r="D20" s="29" t="n"/>
      <c r="E20" s="29" t="n"/>
    </row>
    <row r="22" ht="20" customHeight="1">
      <c r="B22" s="19" t="inlineStr">
        <is>
          <t>Задание 9. ЭВМ из 200000 элементов (сутки, t = 24 ч)</t>
        </is>
      </c>
      <c r="C22" s="4" t="n"/>
      <c r="D22" s="4" t="n"/>
      <c r="E22" s="4" t="n"/>
      <c r="F22" s="4" t="n"/>
    </row>
    <row r="23" ht="16" customHeight="1">
      <c r="B23" s="20" t="inlineStr">
        <is>
          <t>Условие задания: Невосстанавливаемая машина: n = 200000, λср = 0,2∙10⁻⁶ ч⁻¹. Найти Pc(24) и mtc.</t>
        </is>
      </c>
      <c r="C23" s="21" t="n"/>
      <c r="D23" s="21" t="n"/>
      <c r="E23" s="21" t="n"/>
      <c r="F23" s="21" t="n"/>
    </row>
    <row r="24" ht="16" customHeight="1">
      <c r="B24" s="21" t="n"/>
      <c r="C24" s="21" t="n"/>
      <c r="D24" s="21" t="n"/>
      <c r="E24" s="21" t="n"/>
      <c r="F24" s="21" t="n"/>
    </row>
    <row r="25">
      <c r="B25" s="22" t="inlineStr">
        <is>
          <t>1. Исходные данные:</t>
        </is>
      </c>
    </row>
    <row r="26" ht="18" customHeight="1">
      <c r="B26" s="23" t="inlineStr">
        <is>
          <t>Параметр</t>
        </is>
      </c>
      <c r="C26" s="23" t="inlineStr">
        <is>
          <t>Обозначение</t>
        </is>
      </c>
      <c r="D26" s="23" t="inlineStr">
        <is>
          <t>Значение</t>
        </is>
      </c>
      <c r="E26" s="23" t="inlineStr">
        <is>
          <t>Размерность</t>
        </is>
      </c>
    </row>
    <row r="27" ht="18" customHeight="1">
      <c r="B27" s="24" t="inlineStr">
        <is>
          <t>Число элементов</t>
        </is>
      </c>
      <c r="C27" s="13" t="inlineStr">
        <is>
          <t>n</t>
        </is>
      </c>
      <c r="D27" s="25" t="n">
        <v>200000</v>
      </c>
      <c r="E27" s="17" t="inlineStr">
        <is>
          <t>шт.</t>
        </is>
      </c>
    </row>
    <row r="28" ht="18" customHeight="1">
      <c r="B28" s="24" t="inlineStr">
        <is>
          <t>Интенсивность λср</t>
        </is>
      </c>
      <c r="C28" s="13" t="inlineStr">
        <is>
          <t>l_elem</t>
        </is>
      </c>
      <c r="D28" s="26" t="n">
        <v>2e-07</v>
      </c>
      <c r="E28" s="17" t="inlineStr">
        <is>
          <t>1/ч</t>
        </is>
      </c>
    </row>
    <row r="29" ht="18" customHeight="1">
      <c r="B29" s="24" t="inlineStr">
        <is>
          <t>Сутки t</t>
        </is>
      </c>
      <c r="C29" s="13" t="inlineStr">
        <is>
          <t>t</t>
        </is>
      </c>
      <c r="D29" s="25" t="n">
        <v>24</v>
      </c>
      <c r="E29" s="17" t="inlineStr">
        <is>
          <t>ч</t>
        </is>
      </c>
    </row>
    <row r="31">
      <c r="B31" s="22" t="inlineStr">
        <is>
          <t>2. Формульный расчет:</t>
        </is>
      </c>
    </row>
    <row r="32" ht="18" customHeight="1">
      <c r="B32" s="23" t="inlineStr">
        <is>
          <t>Искомый показатель</t>
        </is>
      </c>
      <c r="C32" s="23" t="inlineStr">
        <is>
          <t>Матем. формула</t>
        </is>
      </c>
      <c r="D32" s="23" t="inlineStr">
        <is>
          <t>Значение в Excel</t>
        </is>
      </c>
      <c r="E32" s="23" t="inlineStr">
        <is>
          <t>Размерность</t>
        </is>
      </c>
    </row>
    <row r="33" ht="19" customHeight="1">
      <c r="B33" s="24" t="inlineStr">
        <is>
          <t>Интенсивность системы λc</t>
        </is>
      </c>
      <c r="C33" s="27" t="inlineStr">
        <is>
          <t>n · λср</t>
        </is>
      </c>
      <c r="D33" s="18">
        <f>D27*D28</f>
        <v/>
      </c>
      <c r="E33" s="17" t="inlineStr">
        <is>
          <t>1/ч</t>
        </is>
      </c>
    </row>
    <row r="34" ht="19" customHeight="1">
      <c r="B34" s="24" t="inlineStr">
        <is>
          <t>Вероятность безотказной работы</t>
        </is>
      </c>
      <c r="C34" s="27" t="inlineStr">
        <is>
          <t>exp(-λc·t)</t>
        </is>
      </c>
      <c r="D34" s="11">
        <f>EXP(-D33*D29)</f>
        <v/>
      </c>
      <c r="E34" s="17" t="inlineStr">
        <is>
          <t>—</t>
        </is>
      </c>
    </row>
    <row r="35" ht="19" customHeight="1">
      <c r="B35" s="24" t="inlineStr">
        <is>
          <t>Среднее время работы ЭВМ</t>
        </is>
      </c>
      <c r="C35" s="27" t="inlineStr">
        <is>
          <t>1 / λc</t>
        </is>
      </c>
      <c r="D35" s="16">
        <f>1/D33</f>
        <v/>
      </c>
      <c r="E35" s="17" t="inlineStr">
        <is>
          <t>ч</t>
        </is>
      </c>
    </row>
    <row r="36" ht="20" customHeight="1">
      <c r="B36" s="28" t="inlineStr">
        <is>
          <t>Ответ: Pc(24) = 0,3829 (38,29%); mtc = 25,00 ч.</t>
        </is>
      </c>
      <c r="C36" s="29" t="n"/>
      <c r="D36" s="29" t="n"/>
      <c r="E36" s="29" t="n"/>
    </row>
    <row r="38" ht="20" customHeight="1">
      <c r="B38" s="19" t="inlineStr">
        <is>
          <t>Задание 10. Система управления (6000 элементов, t = 50 ч)</t>
        </is>
      </c>
      <c r="C38" s="4" t="n"/>
      <c r="D38" s="4" t="n"/>
      <c r="E38" s="4" t="n"/>
      <c r="F38" s="4" t="n"/>
    </row>
    <row r="39" ht="16" customHeight="1">
      <c r="B39" s="20" t="inlineStr">
        <is>
          <t>Условие задания: Система управления: n = 6000, λср = 0,16∙10⁻⁶ ч⁻¹. Определить Pc(50) и mtc.</t>
        </is>
      </c>
      <c r="C39" s="21" t="n"/>
      <c r="D39" s="21" t="n"/>
      <c r="E39" s="21" t="n"/>
      <c r="F39" s="21" t="n"/>
    </row>
    <row r="40" ht="16" customHeight="1">
      <c r="B40" s="21" t="n"/>
      <c r="C40" s="21" t="n"/>
      <c r="D40" s="21" t="n"/>
      <c r="E40" s="21" t="n"/>
      <c r="F40" s="21" t="n"/>
    </row>
    <row r="41">
      <c r="B41" s="22" t="inlineStr">
        <is>
          <t>1. Исходные данные:</t>
        </is>
      </c>
    </row>
    <row r="42" ht="18" customHeight="1">
      <c r="B42" s="23" t="inlineStr">
        <is>
          <t>Параметр</t>
        </is>
      </c>
      <c r="C42" s="23" t="inlineStr">
        <is>
          <t>Обозначение</t>
        </is>
      </c>
      <c r="D42" s="23" t="inlineStr">
        <is>
          <t>Значение</t>
        </is>
      </c>
      <c r="E42" s="23" t="inlineStr">
        <is>
          <t>Размерность</t>
        </is>
      </c>
    </row>
    <row r="43" ht="18" customHeight="1">
      <c r="B43" s="24" t="inlineStr">
        <is>
          <t>Число элементов</t>
        </is>
      </c>
      <c r="C43" s="13" t="inlineStr">
        <is>
          <t>n</t>
        </is>
      </c>
      <c r="D43" s="25" t="n">
        <v>6000</v>
      </c>
      <c r="E43" s="17" t="inlineStr">
        <is>
          <t>шт.</t>
        </is>
      </c>
    </row>
    <row r="44" ht="18" customHeight="1">
      <c r="B44" s="24" t="inlineStr">
        <is>
          <t>Интенсивность λср</t>
        </is>
      </c>
      <c r="C44" s="13" t="inlineStr">
        <is>
          <t>l_elem</t>
        </is>
      </c>
      <c r="D44" s="26" t="n">
        <v>1.6e-07</v>
      </c>
      <c r="E44" s="17" t="inlineStr">
        <is>
          <t>1/ч</t>
        </is>
      </c>
    </row>
    <row r="45" ht="18" customHeight="1">
      <c r="B45" s="24" t="inlineStr">
        <is>
          <t>Время t</t>
        </is>
      </c>
      <c r="C45" s="13" t="inlineStr">
        <is>
          <t>t</t>
        </is>
      </c>
      <c r="D45" s="25" t="n">
        <v>50</v>
      </c>
      <c r="E45" s="17" t="inlineStr">
        <is>
          <t>ч</t>
        </is>
      </c>
    </row>
    <row r="47">
      <c r="B47" s="22" t="inlineStr">
        <is>
          <t>2. Формульный расчет:</t>
        </is>
      </c>
    </row>
    <row r="48" ht="18" customHeight="1">
      <c r="B48" s="23" t="inlineStr">
        <is>
          <t>Искомый показатель</t>
        </is>
      </c>
      <c r="C48" s="23" t="inlineStr">
        <is>
          <t>Матем. формула</t>
        </is>
      </c>
      <c r="D48" s="23" t="inlineStr">
        <is>
          <t>Значение в Excel</t>
        </is>
      </c>
      <c r="E48" s="23" t="inlineStr">
        <is>
          <t>Размерность</t>
        </is>
      </c>
    </row>
    <row r="49" ht="19" customHeight="1">
      <c r="B49" s="24" t="inlineStr">
        <is>
          <t>Интенсивность системы λc</t>
        </is>
      </c>
      <c r="C49" s="27" t="inlineStr">
        <is>
          <t>n · λср</t>
        </is>
      </c>
      <c r="D49" s="18">
        <f>D43*D44</f>
        <v/>
      </c>
      <c r="E49" s="17" t="inlineStr">
        <is>
          <t>1/ч</t>
        </is>
      </c>
    </row>
    <row r="50" ht="19" customHeight="1">
      <c r="B50" s="24" t="inlineStr">
        <is>
          <t>Вероятность безотказной работы</t>
        </is>
      </c>
      <c r="C50" s="27" t="inlineStr">
        <is>
          <t>exp(-λc·t)</t>
        </is>
      </c>
      <c r="D50" s="11">
        <f>EXP(-D49*D45)</f>
        <v/>
      </c>
      <c r="E50" s="17" t="inlineStr">
        <is>
          <t>—</t>
        </is>
      </c>
    </row>
    <row r="51" ht="19" customHeight="1">
      <c r="B51" s="24" t="inlineStr">
        <is>
          <t>Средняя наработка системы</t>
        </is>
      </c>
      <c r="C51" s="27" t="inlineStr">
        <is>
          <t>1 / λc</t>
        </is>
      </c>
      <c r="D51" s="16">
        <f>1/D49</f>
        <v/>
      </c>
      <c r="E51" s="17" t="inlineStr">
        <is>
          <t>ч</t>
        </is>
      </c>
    </row>
    <row r="52" ht="20" customHeight="1">
      <c r="B52" s="28" t="inlineStr">
        <is>
          <t>Ответ: Pc(50) = 0,9531 (95,31%); mtc = 1041,67 ч.</t>
        </is>
      </c>
      <c r="C52" s="29" t="n"/>
      <c r="D52" s="29" t="n"/>
      <c r="E52" s="29" t="n"/>
    </row>
    <row r="54" ht="20" customHeight="1">
      <c r="B54" s="19" t="inlineStr">
        <is>
          <t>Задание 11. Надежность прибора из 5 узлов</t>
        </is>
      </c>
      <c r="C54" s="4" t="n"/>
      <c r="D54" s="4" t="n"/>
      <c r="E54" s="4" t="n"/>
      <c r="F54" s="4" t="n"/>
    </row>
    <row r="55" ht="16" customHeight="1">
      <c r="B55" s="20" t="inlineStr">
        <is>
          <t>Условие задания: P1 = 0,98; P2 = 0,99; P3 = 0,998; P4 = 0,975; P5 = 0,985. Определить надежность прибора.</t>
        </is>
      </c>
      <c r="C55" s="21" t="n"/>
      <c r="D55" s="21" t="n"/>
      <c r="E55" s="21" t="n"/>
      <c r="F55" s="21" t="n"/>
    </row>
    <row r="56" ht="16" customHeight="1">
      <c r="B56" s="21" t="n"/>
      <c r="C56" s="21" t="n"/>
      <c r="D56" s="21" t="n"/>
      <c r="E56" s="21" t="n"/>
      <c r="F56" s="21" t="n"/>
    </row>
    <row r="57">
      <c r="B57" s="22" t="inlineStr">
        <is>
          <t>1. Исходные данные:</t>
        </is>
      </c>
    </row>
    <row r="58" ht="18" customHeight="1">
      <c r="B58" s="23" t="inlineStr">
        <is>
          <t>Параметр</t>
        </is>
      </c>
      <c r="C58" s="23" t="inlineStr">
        <is>
          <t>Обозначение</t>
        </is>
      </c>
      <c r="D58" s="23" t="inlineStr">
        <is>
          <t>Значение</t>
        </is>
      </c>
      <c r="E58" s="23" t="inlineStr">
        <is>
          <t>Размерность</t>
        </is>
      </c>
    </row>
    <row r="59" ht="18" customHeight="1">
      <c r="B59" s="24" t="inlineStr">
        <is>
          <t>Узел 1</t>
        </is>
      </c>
      <c r="C59" s="13" t="inlineStr">
        <is>
          <t>P1</t>
        </is>
      </c>
      <c r="D59" s="30" t="n">
        <v>0.98</v>
      </c>
      <c r="E59" s="17" t="inlineStr">
        <is>
          <t>—</t>
        </is>
      </c>
    </row>
    <row r="60" ht="18" customHeight="1">
      <c r="B60" s="24" t="inlineStr">
        <is>
          <t>Узел 2</t>
        </is>
      </c>
      <c r="C60" s="13" t="inlineStr">
        <is>
          <t>P2</t>
        </is>
      </c>
      <c r="D60" s="30" t="n">
        <v>0.99</v>
      </c>
      <c r="E60" s="17" t="inlineStr">
        <is>
          <t>—</t>
        </is>
      </c>
    </row>
    <row r="61" ht="18" customHeight="1">
      <c r="B61" s="24" t="inlineStr">
        <is>
          <t>Узел 3</t>
        </is>
      </c>
      <c r="C61" s="13" t="inlineStr">
        <is>
          <t>P3</t>
        </is>
      </c>
      <c r="D61" s="30" t="n">
        <v>0.998</v>
      </c>
      <c r="E61" s="17" t="inlineStr">
        <is>
          <t>—</t>
        </is>
      </c>
    </row>
    <row r="62" ht="18" customHeight="1">
      <c r="B62" s="24" t="inlineStr">
        <is>
          <t>Узел 4</t>
        </is>
      </c>
      <c r="C62" s="13" t="inlineStr">
        <is>
          <t>P4</t>
        </is>
      </c>
      <c r="D62" s="30" t="n">
        <v>0.975</v>
      </c>
      <c r="E62" s="17" t="inlineStr">
        <is>
          <t>—</t>
        </is>
      </c>
    </row>
    <row r="63" ht="18" customHeight="1">
      <c r="B63" s="24" t="inlineStr">
        <is>
          <t>Узел 5</t>
        </is>
      </c>
      <c r="C63" s="13" t="inlineStr">
        <is>
          <t>P5</t>
        </is>
      </c>
      <c r="D63" s="30" t="n">
        <v>0.985</v>
      </c>
      <c r="E63" s="17" t="inlineStr">
        <is>
          <t>—</t>
        </is>
      </c>
    </row>
    <row r="65">
      <c r="B65" s="22" t="inlineStr">
        <is>
          <t>2. Формульный расчет:</t>
        </is>
      </c>
    </row>
    <row r="66" ht="18" customHeight="1">
      <c r="B66" s="23" t="inlineStr">
        <is>
          <t>Искомый показатель</t>
        </is>
      </c>
      <c r="C66" s="23" t="inlineStr">
        <is>
          <t>Матем. формула</t>
        </is>
      </c>
      <c r="D66" s="23" t="inlineStr">
        <is>
          <t>Значение в Excel</t>
        </is>
      </c>
      <c r="E66" s="23" t="inlineStr">
        <is>
          <t>Размерность</t>
        </is>
      </c>
    </row>
    <row r="67" ht="19" customHeight="1">
      <c r="B67" s="24" t="inlineStr">
        <is>
          <t>Точная вероятность Pc</t>
        </is>
      </c>
      <c r="C67" s="27" t="inlineStr">
        <is>
          <t>Π Pi</t>
        </is>
      </c>
      <c r="D67" s="11">
        <f>D59*D60*D61*D62*D63</f>
        <v/>
      </c>
      <c r="E67" s="17" t="inlineStr">
        <is>
          <t>—</t>
        </is>
      </c>
    </row>
    <row r="68" ht="19" customHeight="1">
      <c r="B68" s="24" t="inlineStr">
        <is>
          <t>Приближенная вероятность по (3.18)</t>
        </is>
      </c>
      <c r="C68" s="27" t="inlineStr">
        <is>
          <t>1 - Σ(1 - Pi)</t>
        </is>
      </c>
      <c r="D68" s="11">
        <f>1-((1-D59)+(1-D60)+(1-D61)+(1-D62)+(1-D63))</f>
        <v/>
      </c>
      <c r="E68" s="17" t="inlineStr">
        <is>
          <t>—</t>
        </is>
      </c>
    </row>
    <row r="69" ht="20" customHeight="1">
      <c r="B69" s="28" t="inlineStr">
        <is>
          <t>Ответ: Pc = 0,9301 (приближенно 0,9280).</t>
        </is>
      </c>
      <c r="C69" s="29" t="n"/>
      <c r="D69" s="29" t="n"/>
      <c r="E69" s="29" t="n"/>
    </row>
    <row r="71" ht="20" customHeight="1">
      <c r="B71" s="19" t="inlineStr">
        <is>
          <t>Задание 12. Система из 5 приборов</t>
        </is>
      </c>
      <c r="C71" s="31" t="n"/>
      <c r="D71" s="31" t="n"/>
      <c r="E71" s="31" t="n"/>
      <c r="F71" s="31" t="n"/>
    </row>
    <row r="72" ht="16" customHeight="1">
      <c r="B72" s="20" t="inlineStr">
        <is>
          <t>Условие: mt1 = 83 ч, mt2 = 220 ч, mt3 = 280 ч, mt4 = 400 ч, mt5 = 700 ч. Экспоненциальный закон надежности. Найти mtc.</t>
        </is>
      </c>
      <c r="C72" s="21" t="n"/>
      <c r="D72" s="21" t="n"/>
      <c r="E72" s="21" t="n"/>
      <c r="F72" s="21" t="n"/>
    </row>
    <row r="73" ht="16" customHeight="1">
      <c r="B73" s="21" t="n"/>
      <c r="C73" s="21" t="n"/>
      <c r="D73" s="21" t="n"/>
      <c r="E73" s="21" t="n"/>
      <c r="F73" s="21" t="n"/>
    </row>
    <row r="74">
      <c r="B74" s="22" t="inlineStr">
        <is>
          <t>1. Наработки и интенсивности приборов:</t>
        </is>
      </c>
    </row>
    <row r="75" ht="18" customHeight="1">
      <c r="B75" s="23" t="inlineStr">
        <is>
          <t>№</t>
        </is>
      </c>
      <c r="C75" s="23" t="inlineStr">
        <is>
          <t>Обозначение</t>
        </is>
      </c>
      <c r="D75" s="23" t="inlineStr">
        <is>
          <t>mti (ч)</t>
        </is>
      </c>
      <c r="E75" s="23" t="inlineStr">
        <is>
          <t>λi = 1/mti (1/ч)</t>
        </is>
      </c>
      <c r="F75" s="23" t="inlineStr">
        <is>
          <t>Примечание</t>
        </is>
      </c>
    </row>
    <row r="76" ht="18" customHeight="1">
      <c r="B76" s="17" t="inlineStr">
        <is>
          <t>1</t>
        </is>
      </c>
      <c r="C76" s="13" t="inlineStr">
        <is>
          <t>mt1</t>
        </is>
      </c>
      <c r="D76" s="25" t="n">
        <v>83</v>
      </c>
      <c r="E76" s="32">
        <f>1/D76</f>
        <v/>
      </c>
      <c r="F76" s="33" t="inlineStr">
        <is>
          <t>Прибор 1</t>
        </is>
      </c>
    </row>
    <row r="77" ht="18" customHeight="1">
      <c r="B77" s="17" t="inlineStr">
        <is>
          <t>2</t>
        </is>
      </c>
      <c r="C77" s="13" t="inlineStr">
        <is>
          <t>mt2</t>
        </is>
      </c>
      <c r="D77" s="25" t="n">
        <v>220</v>
      </c>
      <c r="E77" s="32">
        <f>1/D77</f>
        <v/>
      </c>
      <c r="F77" s="33" t="inlineStr">
        <is>
          <t>Прибор 2</t>
        </is>
      </c>
    </row>
    <row r="78" ht="18" customHeight="1">
      <c r="B78" s="17" t="inlineStr">
        <is>
          <t>3</t>
        </is>
      </c>
      <c r="C78" s="13" t="inlineStr">
        <is>
          <t>mt3</t>
        </is>
      </c>
      <c r="D78" s="25" t="n">
        <v>280</v>
      </c>
      <c r="E78" s="32">
        <f>1/D78</f>
        <v/>
      </c>
      <c r="F78" s="33" t="inlineStr">
        <is>
          <t>Прибор 3</t>
        </is>
      </c>
    </row>
    <row r="79" ht="18" customHeight="1">
      <c r="B79" s="17" t="inlineStr">
        <is>
          <t>4</t>
        </is>
      </c>
      <c r="C79" s="13" t="inlineStr">
        <is>
          <t>mt4</t>
        </is>
      </c>
      <c r="D79" s="25" t="n">
        <v>400</v>
      </c>
      <c r="E79" s="32">
        <f>1/D79</f>
        <v/>
      </c>
      <c r="F79" s="33" t="inlineStr">
        <is>
          <t>Прибор 4</t>
        </is>
      </c>
    </row>
    <row r="80" ht="18" customHeight="1">
      <c r="B80" s="17" t="inlineStr">
        <is>
          <t>5</t>
        </is>
      </c>
      <c r="C80" s="13" t="inlineStr">
        <is>
          <t>mt5</t>
        </is>
      </c>
      <c r="D80" s="25" t="n">
        <v>700</v>
      </c>
      <c r="E80" s="32">
        <f>1/D80</f>
        <v/>
      </c>
      <c r="F80" s="33" t="inlineStr">
        <is>
          <t>Прибор 5</t>
        </is>
      </c>
    </row>
    <row r="81">
      <c r="B81" s="34" t="inlineStr">
        <is>
          <t>Интенсивность отказов системы λc = Σ λi :</t>
        </is>
      </c>
      <c r="C81" s="35" t="n"/>
      <c r="D81" s="35" t="n"/>
      <c r="E81" s="36">
        <f>SUM(E76:E80)</f>
        <v/>
      </c>
      <c r="F81" s="37" t="inlineStr">
        <is>
          <t>1/ч</t>
        </is>
      </c>
    </row>
    <row r="83">
      <c r="B83" s="22" t="inlineStr">
        <is>
          <t>2. Итоговое время безотказной работы системы:</t>
        </is>
      </c>
    </row>
    <row r="84" ht="18" customHeight="1">
      <c r="B84" s="23" t="inlineStr">
        <is>
          <t>Искомый показатель</t>
        </is>
      </c>
      <c r="C84" s="23" t="inlineStr">
        <is>
          <t>Матем. формула</t>
        </is>
      </c>
      <c r="D84" s="23" t="inlineStr">
        <is>
          <t>Значение в Excel</t>
        </is>
      </c>
      <c r="E84" s="23" t="inlineStr">
        <is>
          <t>Размерность</t>
        </is>
      </c>
    </row>
    <row r="85" ht="19" customHeight="1">
      <c r="B85" s="24" t="inlineStr">
        <is>
          <t>Среднее время работы системы mtc</t>
        </is>
      </c>
      <c r="C85" s="27" t="inlineStr">
        <is>
          <t>1 / λc</t>
        </is>
      </c>
      <c r="D85" s="16">
        <f>1/E81</f>
        <v/>
      </c>
      <c r="E85" s="17" t="inlineStr">
        <is>
          <t>ч</t>
        </is>
      </c>
    </row>
    <row r="86" ht="20" customHeight="1">
      <c r="B86" s="28" t="inlineStr">
        <is>
          <t>Ответ: λc = 0,024094 1/ч; mtc = 41,50 ч.</t>
        </is>
      </c>
      <c r="C86" s="29" t="n"/>
      <c r="D86" s="29" t="n"/>
      <c r="E86" s="29" t="n"/>
    </row>
    <row r="88" ht="20" customHeight="1">
      <c r="B88" s="19" t="inlineStr">
        <is>
          <t>Задание 13. Средняя наработка прибора из 5 блоков (t = 50 ч)</t>
        </is>
      </c>
      <c r="C88" s="4" t="n"/>
      <c r="D88" s="4" t="n"/>
      <c r="E88" s="4" t="n"/>
      <c r="F88" s="4" t="n"/>
    </row>
    <row r="89" ht="16" customHeight="1">
      <c r="B89" s="20" t="inlineStr">
        <is>
          <t>Условие задания: P1 = 0,98; P2 = 0,99; P3 = 0,998; P4 = 0,975; P5 = 0,985 при t = 50 ч. Экспоненциальный закон. Найти mtc.</t>
        </is>
      </c>
      <c r="C89" s="21" t="n"/>
      <c r="D89" s="21" t="n"/>
      <c r="E89" s="21" t="n"/>
      <c r="F89" s="21" t="n"/>
    </row>
    <row r="90" ht="16" customHeight="1">
      <c r="B90" s="21" t="n"/>
      <c r="C90" s="21" t="n"/>
      <c r="D90" s="21" t="n"/>
      <c r="E90" s="21" t="n"/>
      <c r="F90" s="21" t="n"/>
    </row>
    <row r="91">
      <c r="B91" s="22" t="inlineStr">
        <is>
          <t>1. Исходные данные:</t>
        </is>
      </c>
    </row>
    <row r="92" ht="18" customHeight="1">
      <c r="B92" s="23" t="inlineStr">
        <is>
          <t>Параметр</t>
        </is>
      </c>
      <c r="C92" s="23" t="inlineStr">
        <is>
          <t>Обозначение</t>
        </is>
      </c>
      <c r="D92" s="23" t="inlineStr">
        <is>
          <t>Значение</t>
        </is>
      </c>
      <c r="E92" s="23" t="inlineStr">
        <is>
          <t>Размерность</t>
        </is>
      </c>
    </row>
    <row r="93" ht="18" customHeight="1">
      <c r="B93" s="24" t="inlineStr">
        <is>
          <t>Блок 1</t>
        </is>
      </c>
      <c r="C93" s="13" t="inlineStr">
        <is>
          <t>P1</t>
        </is>
      </c>
      <c r="D93" s="30" t="n">
        <v>0.98</v>
      </c>
      <c r="E93" s="17" t="inlineStr">
        <is>
          <t>—</t>
        </is>
      </c>
    </row>
    <row r="94" ht="18" customHeight="1">
      <c r="B94" s="24" t="inlineStr">
        <is>
          <t>Блок 2</t>
        </is>
      </c>
      <c r="C94" s="13" t="inlineStr">
        <is>
          <t>P2</t>
        </is>
      </c>
      <c r="D94" s="30" t="n">
        <v>0.99</v>
      </c>
      <c r="E94" s="17" t="inlineStr">
        <is>
          <t>—</t>
        </is>
      </c>
    </row>
    <row r="95" ht="18" customHeight="1">
      <c r="B95" s="24" t="inlineStr">
        <is>
          <t>Блок 3</t>
        </is>
      </c>
      <c r="C95" s="13" t="inlineStr">
        <is>
          <t>P3</t>
        </is>
      </c>
      <c r="D95" s="30" t="n">
        <v>0.998</v>
      </c>
      <c r="E95" s="17" t="inlineStr">
        <is>
          <t>—</t>
        </is>
      </c>
    </row>
    <row r="96" ht="18" customHeight="1">
      <c r="B96" s="24" t="inlineStr">
        <is>
          <t>Блок 4</t>
        </is>
      </c>
      <c r="C96" s="13" t="inlineStr">
        <is>
          <t>P4</t>
        </is>
      </c>
      <c r="D96" s="30" t="n">
        <v>0.975</v>
      </c>
      <c r="E96" s="17" t="inlineStr">
        <is>
          <t>—</t>
        </is>
      </c>
    </row>
    <row r="97" ht="18" customHeight="1">
      <c r="B97" s="24" t="inlineStr">
        <is>
          <t>Блок 5</t>
        </is>
      </c>
      <c r="C97" s="13" t="inlineStr">
        <is>
          <t>P5</t>
        </is>
      </c>
      <c r="D97" s="30" t="n">
        <v>0.985</v>
      </c>
      <c r="E97" s="17" t="inlineStr">
        <is>
          <t>—</t>
        </is>
      </c>
    </row>
    <row r="98" ht="18" customHeight="1">
      <c r="B98" s="24" t="inlineStr">
        <is>
          <t>Время t</t>
        </is>
      </c>
      <c r="C98" s="13" t="inlineStr">
        <is>
          <t>t</t>
        </is>
      </c>
      <c r="D98" s="25" t="n">
        <v>50</v>
      </c>
      <c r="E98" s="17" t="inlineStr">
        <is>
          <t>ч</t>
        </is>
      </c>
    </row>
    <row r="100">
      <c r="B100" s="22" t="inlineStr">
        <is>
          <t>2. Формульный расчет:</t>
        </is>
      </c>
    </row>
    <row r="101" ht="18" customHeight="1">
      <c r="B101" s="23" t="inlineStr">
        <is>
          <t>Искомый показатель</t>
        </is>
      </c>
      <c r="C101" s="23" t="inlineStr">
        <is>
          <t>Матем. формула</t>
        </is>
      </c>
      <c r="D101" s="23" t="inlineStr">
        <is>
          <t>Значение в Excel</t>
        </is>
      </c>
      <c r="E101" s="23" t="inlineStr">
        <is>
          <t>Размерность</t>
        </is>
      </c>
    </row>
    <row r="102" ht="19" customHeight="1">
      <c r="B102" s="24" t="inlineStr">
        <is>
          <t>Вероятность прибора Pc(50)</t>
        </is>
      </c>
      <c r="C102" s="27" t="inlineStr">
        <is>
          <t>Π Pi</t>
        </is>
      </c>
      <c r="D102" s="11">
        <f>D93*D94*D95*D96*D97</f>
        <v/>
      </c>
      <c r="E102" s="17" t="inlineStr">
        <is>
          <t>—</t>
        </is>
      </c>
    </row>
    <row r="103" ht="19" customHeight="1">
      <c r="B103" s="24" t="inlineStr">
        <is>
          <t>Интенсивность отказов λc</t>
        </is>
      </c>
      <c r="C103" s="27" t="inlineStr">
        <is>
          <t>-LN(Pc) / t</t>
        </is>
      </c>
      <c r="D103" s="18">
        <f>-LN(D102)/D98</f>
        <v/>
      </c>
      <c r="E103" s="17" t="inlineStr">
        <is>
          <t>1/ч</t>
        </is>
      </c>
    </row>
    <row r="104" ht="19" customHeight="1">
      <c r="B104" s="24" t="inlineStr">
        <is>
          <t>Среднее время работы прибора mtc</t>
        </is>
      </c>
      <c r="C104" s="27" t="inlineStr">
        <is>
          <t>1 / λc</t>
        </is>
      </c>
      <c r="D104" s="16">
        <f>1/D103</f>
        <v/>
      </c>
      <c r="E104" s="17" t="inlineStr">
        <is>
          <t>ч</t>
        </is>
      </c>
    </row>
    <row r="105" ht="20" customHeight="1">
      <c r="B105" s="28" t="inlineStr">
        <is>
          <t>Ответ: Pc(50) = 0,9301; λc = 0,001450 1/ч; mtc = 689,57 ч.</t>
        </is>
      </c>
      <c r="C105" s="29" t="n"/>
      <c r="D105" s="29" t="n"/>
      <c r="E105" s="29" t="n"/>
    </row>
  </sheetData>
  <mergeCells count="22">
    <mergeCell ref="B4:F4"/>
    <mergeCell ref="B54:F54"/>
    <mergeCell ref="B3:F3"/>
    <mergeCell ref="B22:F22"/>
    <mergeCell ref="B20:E20"/>
    <mergeCell ref="B71:F71"/>
    <mergeCell ref="B36:E36"/>
    <mergeCell ref="B2:F2"/>
    <mergeCell ref="B55:F56"/>
    <mergeCell ref="B89:F90"/>
    <mergeCell ref="B88:F88"/>
    <mergeCell ref="B7:F8"/>
    <mergeCell ref="B38:F38"/>
    <mergeCell ref="B105:E105"/>
    <mergeCell ref="B52:E52"/>
    <mergeCell ref="B72:F73"/>
    <mergeCell ref="B86:E86"/>
    <mergeCell ref="B81:D81"/>
    <mergeCell ref="B6:F6"/>
    <mergeCell ref="B69:E69"/>
    <mergeCell ref="B23:F24"/>
    <mergeCell ref="B39:F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2026-10-22T17:54:00Z</dcterms:created>
  <dcterms:modified xmlns:dcterms="http://purl.org/dc/terms/" xmlns:xsi="http://www.w3.org/2001/XMLSchema-instance" xsi:type="dcterms:W3CDTF">2026-10-22T17:54:00Z</dcterms:modified>
</cp:coreProperties>
</file>