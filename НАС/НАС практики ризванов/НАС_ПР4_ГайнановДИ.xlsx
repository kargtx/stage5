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и Ответы" sheetId="1" state="visible" r:id="rId1"/>
    <sheet xmlns:r="http://schemas.openxmlformats.org/officeDocument/2006/relationships" name="Задачи 4-14" sheetId="2" state="visible" r:id="rId2"/>
    <sheet xmlns:r="http://schemas.openxmlformats.org/officeDocument/2006/relationships" name="Типовые задачи (№1-3)" sheetId="3" state="visible" r:id="rId3"/>
    <sheet xmlns:r="http://schemas.openxmlformats.org/officeDocument/2006/relationships" name="Теория резервирова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E+00"/>
    <numFmt numFmtId="165" formatCode="0.0"/>
    <numFmt numFmtId="166" formatCode="0.00000"/>
    <numFmt numFmtId="167" formatCode="0.0000"/>
    <numFmt numFmtId="168" formatCode="0.00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0E8F5"/>
      <sz val="10"/>
    </font>
    <font>
      <name val="Segoe UI"/>
      <color rgb="00D0DCF0"/>
      <sz val="9"/>
    </font>
    <font>
      <name val="Segoe UI"/>
      <b val="1"/>
      <color rgb="00FFFFFF"/>
      <sz val="9"/>
    </font>
    <font>
      <name val="Segoe UI"/>
      <i val="1"/>
      <color rgb="004A5568"/>
      <sz val="9"/>
    </font>
    <font>
      <name val="Segoe UI"/>
      <color rgb="00202020"/>
      <sz val="9"/>
    </font>
    <font>
      <name val="Segoe UI"/>
      <i val="1"/>
      <color rgb="001F4E78"/>
      <sz val="9"/>
    </font>
    <font>
      <name val="Segoe UI"/>
      <b val="1"/>
      <color rgb="00202020"/>
      <sz val="9"/>
    </font>
    <font>
      <name val="Segoe UI"/>
      <b val="1"/>
      <color rgb="001E4620"/>
      <sz val="10"/>
    </font>
    <font>
      <name val="Segoe UI"/>
      <b val="1"/>
      <color rgb="001B365D"/>
      <sz val="9"/>
    </font>
    <font>
      <name val="Segoe UI"/>
      <b val="1"/>
      <color rgb="001E462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41679D"/>
        <bgColor rgb="0041679D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8E7"/>
        <bgColor rgb="00FFF8E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10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7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right" vertical="center"/>
    </xf>
    <xf numFmtId="2" fontId="9" fillId="6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8" fontId="9" fillId="7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0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5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6" fontId="9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166" fontId="8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" fontId="8" fillId="6" borderId="1" applyAlignment="1" pivotButton="0" quotePrefix="0" xfId="0">
      <alignment horizontal="right" vertical="center"/>
    </xf>
    <xf numFmtId="2" fontId="9" fillId="8" borderId="2" applyAlignment="1" pivotButton="0" quotePrefix="0" xfId="0">
      <alignment horizontal="right" vertical="center"/>
    </xf>
    <xf numFmtId="164" fontId="9" fillId="8" borderId="2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168" fontId="9" fillId="8" borderId="2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4" customWidth="1" min="3" max="3"/>
    <col width="18" customWidth="1" min="4" max="4"/>
    <col width="18" customWidth="1" min="5" max="5"/>
    <col width="12" customWidth="1" min="6" max="6"/>
    <col width="16" customWidth="1" min="7" max="7"/>
  </cols>
  <sheetData>
    <row r="2" ht="25" customHeight="1">
      <c r="B2" s="1" t="inlineStr">
        <is>
          <t>ИТОГОВАЯ СВОДКА РАСЧЕТОВ НАДЕЖНОСТИ (ПРАКТИКА № 4)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Сводная ведомость результатов по всем задачам с постоянным резервированием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Студент: Гайнанов Дамир Ильдарович | Группа: ЭАС-414С</t>
        </is>
      </c>
      <c r="C4" s="4" t="n"/>
      <c r="D4" s="4" t="n"/>
      <c r="E4" s="4" t="n"/>
      <c r="F4" s="4" t="n"/>
      <c r="G4" s="4" t="n"/>
    </row>
    <row r="6" ht="20" customHeight="1">
      <c r="B6" s="6" t="inlineStr">
        <is>
          <t>Студент:</t>
        </is>
      </c>
      <c r="C6" s="7" t="n"/>
      <c r="D6" s="8" t="inlineStr">
        <is>
          <t>Гайнанов Дамир Ильдарович</t>
        </is>
      </c>
      <c r="E6" s="9" t="n"/>
      <c r="F6" s="9" t="n"/>
      <c r="G6" s="9" t="n"/>
    </row>
    <row r="7" ht="20" customHeight="1">
      <c r="B7" s="6" t="inlineStr">
        <is>
          <t>Группа / Факультет:</t>
        </is>
      </c>
      <c r="C7" s="7" t="n"/>
      <c r="D7" s="10" t="inlineStr">
        <is>
          <t>ЭАС-414С / Кафедра ЭАПП</t>
        </is>
      </c>
      <c r="E7" s="9" t="n"/>
      <c r="F7" s="9" t="n"/>
      <c r="G7" s="9" t="n"/>
    </row>
    <row r="8" ht="20" customHeight="1">
      <c r="B8" s="6" t="inlineStr">
        <is>
          <t>Дисциплина:</t>
        </is>
      </c>
      <c r="C8" s="7" t="n"/>
      <c r="D8" s="10" t="inlineStr">
        <is>
          <t>Надежность автоматизированных систем (НАС)</t>
        </is>
      </c>
      <c r="E8" s="9" t="n"/>
      <c r="F8" s="9" t="n"/>
      <c r="G8" s="9" t="n"/>
    </row>
    <row r="9" ht="20" customHeight="1">
      <c r="B9" s="6" t="inlineStr">
        <is>
          <t>Тема практической работы:</t>
        </is>
      </c>
      <c r="C9" s="7" t="n"/>
      <c r="D9" s="10" t="inlineStr">
        <is>
          <t>Расчет надежности системы с постоянным резервированием (Слайды 19-28)</t>
        </is>
      </c>
      <c r="E9" s="9" t="n"/>
      <c r="F9" s="9" t="n"/>
      <c r="G9" s="9" t="n"/>
    </row>
    <row r="11" ht="24" customHeight="1">
      <c r="B11" s="11" t="inlineStr">
        <is>
          <t>№</t>
        </is>
      </c>
      <c r="C11" s="11" t="inlineStr">
        <is>
          <t>Наименование задачи / Объекта</t>
        </is>
      </c>
      <c r="D11" s="11" t="inlineStr">
        <is>
          <t>Определяемый показатель</t>
        </is>
      </c>
      <c r="E11" s="11" t="inlineStr">
        <is>
          <t>Формула в Excel</t>
        </is>
      </c>
      <c r="F11" s="11" t="inlineStr">
        <is>
          <t>Результат</t>
        </is>
      </c>
      <c r="G11" s="11" t="inlineStr">
        <is>
          <t>Ед. изм.</t>
        </is>
      </c>
      <c r="H11" s="12" t="inlineStr">
        <is>
          <t>Статус</t>
        </is>
      </c>
    </row>
    <row r="12" ht="20" customHeight="1">
      <c r="B12" s="13" t="inlineStr">
        <is>
          <t>№ 4</t>
        </is>
      </c>
      <c r="C12" s="14" t="inlineStr">
        <is>
          <t>Трехблочная система (резерв отсутствует)</t>
        </is>
      </c>
      <c r="D12" s="15" t="inlineStr">
        <is>
          <t>Pc_нр(100)</t>
        </is>
      </c>
      <c r="E12" s="16">
        <f>'Задачи 4-14'!E14</f>
        <v/>
      </c>
      <c r="F12" s="17" t="inlineStr">
        <is>
          <t>—</t>
        </is>
      </c>
      <c r="G12" s="18" t="inlineStr">
        <is>
          <t>Рассчитано</t>
        </is>
      </c>
    </row>
    <row r="13" ht="20" customHeight="1">
      <c r="B13" s="19" t="inlineStr">
        <is>
          <t>№ 4</t>
        </is>
      </c>
      <c r="C13" s="10" t="inlineStr">
        <is>
          <t>Трехблочная система (общее дублирование)</t>
        </is>
      </c>
      <c r="D13" s="20" t="inlineStr">
        <is>
          <t>Pc_дубл(100)</t>
        </is>
      </c>
      <c r="E13" s="21">
        <f>'Задачи 4-14'!E15</f>
        <v/>
      </c>
      <c r="F13" s="22" t="inlineStr">
        <is>
          <t>—</t>
        </is>
      </c>
      <c r="G13" s="23" t="inlineStr">
        <is>
          <t>Рассчитано</t>
        </is>
      </c>
    </row>
    <row r="14" ht="20" customHeight="1">
      <c r="B14" s="13" t="inlineStr">
        <is>
          <t>№ 5</t>
        </is>
      </c>
      <c r="C14" s="14" t="inlineStr">
        <is>
          <t>Логическая схема 4.3 (вероятность при t=100 ч)</t>
        </is>
      </c>
      <c r="D14" s="15" t="inlineStr">
        <is>
          <t>Pc(100)</t>
        </is>
      </c>
      <c r="E14" s="16">
        <f>'Задачи 4-14'!E28</f>
        <v/>
      </c>
      <c r="F14" s="17" t="inlineStr">
        <is>
          <t>—</t>
        </is>
      </c>
      <c r="G14" s="18" t="inlineStr">
        <is>
          <t>Рассчитано</t>
        </is>
      </c>
    </row>
    <row r="15" ht="20" customHeight="1">
      <c r="B15" s="19" t="inlineStr">
        <is>
          <t>№ 5</t>
        </is>
      </c>
      <c r="C15" s="10" t="inlineStr">
        <is>
          <t>Логическая схема 4.3 (средняя наработка)</t>
        </is>
      </c>
      <c r="D15" s="20" t="inlineStr">
        <is>
          <t>mtc</t>
        </is>
      </c>
      <c r="E15" s="24">
        <f>'Задачи 4-14'!E29</f>
        <v/>
      </c>
      <c r="F15" s="22" t="inlineStr">
        <is>
          <t>ч</t>
        </is>
      </c>
      <c r="G15" s="23" t="inlineStr">
        <is>
          <t>Рассчитано</t>
        </is>
      </c>
    </row>
    <row r="16" ht="20" customHeight="1">
      <c r="B16" s="13" t="inlineStr">
        <is>
          <t>№ 6</t>
        </is>
      </c>
      <c r="C16" s="14" t="inlineStr">
        <is>
          <t>Радиопередатчик (дублирование, наработка mtc)</t>
        </is>
      </c>
      <c r="D16" s="15" t="inlineStr">
        <is>
          <t>mtc</t>
        </is>
      </c>
      <c r="E16" s="25">
        <f>'Задачи 4-14'!E42</f>
        <v/>
      </c>
      <c r="F16" s="17" t="inlineStr">
        <is>
          <t>ч</t>
        </is>
      </c>
      <c r="G16" s="18" t="inlineStr">
        <is>
          <t>Рассчитано</t>
        </is>
      </c>
    </row>
    <row r="17" ht="20" customHeight="1">
      <c r="B17" s="19" t="inlineStr">
        <is>
          <t>№ 6</t>
        </is>
      </c>
      <c r="C17" s="10" t="inlineStr">
        <is>
          <t>Радиопередатчик (вероятность при t=100 ч)</t>
        </is>
      </c>
      <c r="D17" s="20" t="inlineStr">
        <is>
          <t>Pc(100)</t>
        </is>
      </c>
      <c r="E17" s="21">
        <f>'Задачи 4-14'!E43</f>
        <v/>
      </c>
      <c r="F17" s="22" t="inlineStr">
        <is>
          <t>—</t>
        </is>
      </c>
      <c r="G17" s="23" t="inlineStr">
        <is>
          <t>Рассчитано</t>
        </is>
      </c>
    </row>
    <row r="18" ht="20" customHeight="1">
      <c r="B18" s="13" t="inlineStr">
        <is>
          <t>№ 7</t>
        </is>
      </c>
      <c r="C18" s="14" t="inlineStr">
        <is>
          <t>Схема дублирования цепи 4.4 (наработка mtc)</t>
        </is>
      </c>
      <c r="D18" s="15" t="inlineStr">
        <is>
          <t>mtc</t>
        </is>
      </c>
      <c r="E18" s="25">
        <f>'Задачи 4-14'!E56</f>
        <v/>
      </c>
      <c r="F18" s="17" t="inlineStr">
        <is>
          <t>ч</t>
        </is>
      </c>
      <c r="G18" s="18" t="inlineStr">
        <is>
          <t>Рассчитано</t>
        </is>
      </c>
    </row>
    <row r="19" ht="20" customHeight="1">
      <c r="B19" s="19" t="inlineStr">
        <is>
          <t>№ 7</t>
        </is>
      </c>
      <c r="C19" s="10" t="inlineStr">
        <is>
          <t>Схема дублирования цепи 4.4 (интенсивность при t=100)</t>
        </is>
      </c>
      <c r="D19" s="20" t="inlineStr">
        <is>
          <t>λc(100)</t>
        </is>
      </c>
      <c r="E19" s="26">
        <f>'Задачи 4-14'!E58</f>
        <v/>
      </c>
      <c r="F19" s="22" t="inlineStr">
        <is>
          <t>1/ч</t>
        </is>
      </c>
      <c r="G19" s="23" t="inlineStr">
        <is>
          <t>Рассчитано</t>
        </is>
      </c>
    </row>
    <row r="20" ht="20" customHeight="1">
      <c r="B20" s="13" t="inlineStr">
        <is>
          <t>№ 8</t>
        </is>
      </c>
      <c r="C20" s="14" t="inlineStr">
        <is>
          <t>Трехблочная система (без резерва)</t>
        </is>
      </c>
      <c r="D20" s="15" t="inlineStr">
        <is>
          <t>Pc_нр(100)</t>
        </is>
      </c>
      <c r="E20" s="16">
        <f>'Задачи 4-14'!E70</f>
        <v/>
      </c>
      <c r="F20" s="17" t="inlineStr">
        <is>
          <t>—</t>
        </is>
      </c>
      <c r="G20" s="18" t="inlineStr">
        <is>
          <t>Рассчитано</t>
        </is>
      </c>
    </row>
    <row r="21" ht="20" customHeight="1">
      <c r="B21" s="19" t="inlineStr">
        <is>
          <t>№ 8</t>
        </is>
      </c>
      <c r="C21" s="10" t="inlineStr">
        <is>
          <t>Трехблочная система (общее дублирование)</t>
        </is>
      </c>
      <c r="D21" s="20" t="inlineStr">
        <is>
          <t>Pc_дубл(100)</t>
        </is>
      </c>
      <c r="E21" s="21">
        <f>'Задачи 4-14'!E71</f>
        <v/>
      </c>
      <c r="F21" s="22" t="inlineStr">
        <is>
          <t>—</t>
        </is>
      </c>
      <c r="G21" s="23" t="inlineStr">
        <is>
          <t>Рассчитано</t>
        </is>
      </c>
    </row>
    <row r="22" ht="20" customHeight="1">
      <c r="B22" s="13" t="inlineStr">
        <is>
          <t>№ 9</t>
        </is>
      </c>
      <c r="C22" s="14" t="inlineStr">
        <is>
          <t>Тройное резервирование ветвей 4.5 (вероятность t=100)</t>
        </is>
      </c>
      <c r="D22" s="15" t="inlineStr">
        <is>
          <t>Pc(100)</t>
        </is>
      </c>
      <c r="E22" s="16">
        <f>'Задачи 4-14'!E84</f>
        <v/>
      </c>
      <c r="F22" s="17" t="inlineStr">
        <is>
          <t>—</t>
        </is>
      </c>
      <c r="G22" s="18" t="inlineStr">
        <is>
          <t>Рассчитано</t>
        </is>
      </c>
    </row>
    <row r="23" ht="20" customHeight="1">
      <c r="B23" s="19" t="inlineStr">
        <is>
          <t>№ 9</t>
        </is>
      </c>
      <c r="C23" s="10" t="inlineStr">
        <is>
          <t>Тройное резервирование ветвей 4.5 (наработка mtc)</t>
        </is>
      </c>
      <c r="D23" s="20" t="inlineStr">
        <is>
          <t>mtc</t>
        </is>
      </c>
      <c r="E23" s="24">
        <f>'Задачи 4-14'!E85</f>
        <v/>
      </c>
      <c r="F23" s="22" t="inlineStr">
        <is>
          <t>ч</t>
        </is>
      </c>
      <c r="G23" s="23" t="inlineStr">
        <is>
          <t>Рассчитано</t>
        </is>
      </c>
    </row>
    <row r="24" ht="20" customHeight="1">
      <c r="B24" s="13" t="inlineStr">
        <is>
          <t>№ 9</t>
        </is>
      </c>
      <c r="C24" s="14" t="inlineStr">
        <is>
          <t>Тройное резервирование ветвей 4.5 (интенсивность λc)</t>
        </is>
      </c>
      <c r="D24" s="15" t="inlineStr">
        <is>
          <t>λc(100)</t>
        </is>
      </c>
      <c r="E24" s="27">
        <f>'Задачи 4-14'!E87</f>
        <v/>
      </c>
      <c r="F24" s="17" t="inlineStr">
        <is>
          <t>1/ч</t>
        </is>
      </c>
      <c r="G24" s="18" t="inlineStr">
        <is>
          <t>Рассчитано</t>
        </is>
      </c>
    </row>
    <row r="25" ht="20" customHeight="1">
      <c r="B25" s="19" t="inlineStr">
        <is>
          <t>№ 10</t>
        </is>
      </c>
      <c r="C25" s="10" t="inlineStr">
        <is>
          <t>Телевизионный канал (наработка mtc)</t>
        </is>
      </c>
      <c r="D25" s="20" t="inlineStr">
        <is>
          <t>mtc</t>
        </is>
      </c>
      <c r="E25" s="24">
        <f>'Задачи 4-14'!E98</f>
        <v/>
      </c>
      <c r="F25" s="22" t="inlineStr">
        <is>
          <t>ч</t>
        </is>
      </c>
      <c r="G25" s="23" t="inlineStr">
        <is>
          <t>Рассчитано</t>
        </is>
      </c>
    </row>
    <row r="26" ht="20" customHeight="1">
      <c r="B26" s="13" t="inlineStr">
        <is>
          <t>№ 10</t>
        </is>
      </c>
      <c r="C26" s="14" t="inlineStr">
        <is>
          <t>Телевизионный канал (вероятность при t=50 ч)</t>
        </is>
      </c>
      <c r="D26" s="15" t="inlineStr">
        <is>
          <t>Pc(50)</t>
        </is>
      </c>
      <c r="E26" s="16">
        <f>'Задачи 4-14'!E99</f>
        <v/>
      </c>
      <c r="F26" s="17" t="inlineStr">
        <is>
          <t>—</t>
        </is>
      </c>
      <c r="G26" s="18" t="inlineStr">
        <is>
          <t>Рассчитано</t>
        </is>
      </c>
    </row>
    <row r="27" ht="20" customHeight="1">
      <c r="B27" s="19" t="inlineStr">
        <is>
          <t>№ 11</t>
        </is>
      </c>
      <c r="C27" s="10" t="inlineStr">
        <is>
          <t>Дублированная цепь двух элементов (интенсивность λc)</t>
        </is>
      </c>
      <c r="D27" s="20" t="inlineStr">
        <is>
          <t>λc(50)</t>
        </is>
      </c>
      <c r="E27" s="26">
        <f>'Задачи 4-14'!E112</f>
        <v/>
      </c>
      <c r="F27" s="22" t="inlineStr">
        <is>
          <t>1/ч</t>
        </is>
      </c>
      <c r="G27" s="23" t="inlineStr">
        <is>
          <t>Рассчитано</t>
        </is>
      </c>
    </row>
    <row r="28" ht="20" customHeight="1">
      <c r="B28" s="13" t="inlineStr">
        <is>
          <t>№ 12</t>
        </is>
      </c>
      <c r="C28" s="14" t="inlineStr">
        <is>
          <t>Система n=4000 (допустимая λдоп без резерва)</t>
        </is>
      </c>
      <c r="D28" s="15" t="inlineStr">
        <is>
          <t>λдоп_а</t>
        </is>
      </c>
      <c r="E28" s="27">
        <f>'Задачи 4-14'!E124</f>
        <v/>
      </c>
      <c r="F28" s="17" t="inlineStr">
        <is>
          <t>1/ч</t>
        </is>
      </c>
      <c r="G28" s="18" t="inlineStr">
        <is>
          <t>Рассчитано</t>
        </is>
      </c>
    </row>
    <row r="29" ht="20" customHeight="1">
      <c r="B29" s="19" t="inlineStr">
        <is>
          <t>№ 12</t>
        </is>
      </c>
      <c r="C29" s="10" t="inlineStr">
        <is>
          <t>Система n=4000 (допустимая λдоп с дублированием)</t>
        </is>
      </c>
      <c r="D29" s="20" t="inlineStr">
        <is>
          <t>λдоп_б</t>
        </is>
      </c>
      <c r="E29" s="26">
        <f>'Задачи 4-14'!E126</f>
        <v/>
      </c>
      <c r="F29" s="22" t="inlineStr">
        <is>
          <t>1/ч</t>
        </is>
      </c>
      <c r="G29" s="23" t="inlineStr">
        <is>
          <t>Рассчитано</t>
        </is>
      </c>
    </row>
    <row r="30" ht="20" customHeight="1">
      <c r="B30" s="13" t="inlineStr">
        <is>
          <t>№ 13</t>
        </is>
      </c>
      <c r="C30" s="14" t="inlineStr">
        <is>
          <t>Требуемая надежность блока: а) без резерва</t>
        </is>
      </c>
      <c r="D30" s="15" t="inlineStr">
        <is>
          <t>Pбл_а</t>
        </is>
      </c>
      <c r="E30" s="16">
        <f>'Задачи 4-14'!E136</f>
        <v/>
      </c>
      <c r="F30" s="17" t="inlineStr">
        <is>
          <t>—</t>
        </is>
      </c>
      <c r="G30" s="18" t="inlineStr">
        <is>
          <t>Рассчитано</t>
        </is>
      </c>
    </row>
    <row r="31" ht="20" customHeight="1">
      <c r="B31" s="19" t="inlineStr">
        <is>
          <t>№ 13</t>
        </is>
      </c>
      <c r="C31" s="10" t="inlineStr">
        <is>
          <t>Требуемая надежность блока: б) общее дублирование</t>
        </is>
      </c>
      <c r="D31" s="20" t="inlineStr">
        <is>
          <t>Pбл_б</t>
        </is>
      </c>
      <c r="E31" s="21">
        <f>'Задачи 4-14'!E138</f>
        <v/>
      </c>
      <c r="F31" s="22" t="inlineStr">
        <is>
          <t>—</t>
        </is>
      </c>
      <c r="G31" s="23" t="inlineStr">
        <is>
          <t>Рассчитано</t>
        </is>
      </c>
    </row>
    <row r="32" ht="20" customHeight="1">
      <c r="B32" s="13" t="inlineStr">
        <is>
          <t>№ 13</t>
        </is>
      </c>
      <c r="C32" s="14" t="inlineStr">
        <is>
          <t>Требуемая надежность блока: в) раздельное дублирование</t>
        </is>
      </c>
      <c r="D32" s="15" t="inlineStr">
        <is>
          <t>Pбл_в</t>
        </is>
      </c>
      <c r="E32" s="16">
        <f>'Задачи 4-14'!E140</f>
        <v/>
      </c>
      <c r="F32" s="17" t="inlineStr">
        <is>
          <t>—</t>
        </is>
      </c>
      <c r="G32" s="18" t="inlineStr">
        <is>
          <t>Рассчитано</t>
        </is>
      </c>
    </row>
    <row r="33" ht="20" customHeight="1">
      <c r="B33" s="19" t="inlineStr">
        <is>
          <t>№ 14</t>
        </is>
      </c>
      <c r="C33" s="10" t="inlineStr">
        <is>
          <t>Вычислитель (вероятность при t=20 ч)</t>
        </is>
      </c>
      <c r="D33" s="20" t="inlineStr">
        <is>
          <t>Pc(20)</t>
        </is>
      </c>
      <c r="E33" s="28">
        <f>'Задачи 4-14'!E152</f>
        <v/>
      </c>
      <c r="F33" s="22" t="inlineStr">
        <is>
          <t>—</t>
        </is>
      </c>
      <c r="G33" s="23" t="inlineStr">
        <is>
          <t>Рассчитано</t>
        </is>
      </c>
    </row>
    <row r="34" ht="20" customHeight="1">
      <c r="B34" s="13" t="inlineStr">
        <is>
          <t>№ 14</t>
        </is>
      </c>
      <c r="C34" s="14" t="inlineStr">
        <is>
          <t>Вычислитель (средняя наработка mtc)</t>
        </is>
      </c>
      <c r="D34" s="15" t="inlineStr">
        <is>
          <t>mtc</t>
        </is>
      </c>
      <c r="E34" s="25">
        <f>'Задачи 4-14'!E151</f>
        <v/>
      </c>
      <c r="F34" s="17" t="inlineStr">
        <is>
          <t>ч</t>
        </is>
      </c>
      <c r="G34" s="18" t="inlineStr">
        <is>
          <t>Рассчитано</t>
        </is>
      </c>
    </row>
  </sheetData>
  <mergeCells count="11">
    <mergeCell ref="B3:G3"/>
    <mergeCell ref="B2:G2"/>
    <mergeCell ref="B6:C6"/>
    <mergeCell ref="D9:G9"/>
    <mergeCell ref="B7:C7"/>
    <mergeCell ref="D8:G8"/>
    <mergeCell ref="D6:G6"/>
    <mergeCell ref="D7:G7"/>
    <mergeCell ref="B4:G4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8" customWidth="1" min="4" max="4"/>
    <col width="18" customWidth="1" min="5" max="5"/>
    <col width="12" customWidth="1" min="6" max="6"/>
    <col width="42" customWidth="1" min="7" max="7"/>
  </cols>
  <sheetData>
    <row r="2" ht="25" customHeight="1">
      <c r="B2" s="1" t="inlineStr">
        <is>
          <t>ЗАДАЧИ ДЛЯ САМОСТОЯТЕЛЬНОГО РЕШЕНИЯ (№ 4 – 14)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Практическая работа № 4. Расчет надежности системы с постоянным резервированием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Все расчеты выполнены динамическими формулами Excel со ссылками на исходные параметры</t>
        </is>
      </c>
      <c r="C4" s="4" t="n"/>
      <c r="D4" s="4" t="n"/>
      <c r="E4" s="4" t="n"/>
      <c r="F4" s="4" t="n"/>
      <c r="G4" s="4" t="n"/>
    </row>
    <row r="6" ht="22" customHeight="1">
      <c r="B6" s="29" t="inlineStr">
        <is>
          <t>ЗАДАЧА № 4. СРАВНЕНИЕ СИСТЕМЫ БЕЗ РЕЗЕРВА И С ОБЩИМ ДУБЛИРОВАНИЕМ</t>
        </is>
      </c>
      <c r="C6" s="30" t="n"/>
      <c r="D6" s="30" t="n"/>
      <c r="E6" s="30" t="n"/>
      <c r="F6" s="30" t="n"/>
      <c r="G6" s="30" t="n"/>
    </row>
    <row r="7" ht="36" customHeight="1">
      <c r="B7" s="31" t="inlineStr">
        <is>
          <t>Условие: Технологическая система состоит из 3 блоков: Б1, Б2, Б3 с интенсивностями λ1=4*10^-4, λ2=2.5*10^-4, λ3=3*10^-4 1/ч. Рассчитать вероятность безотказной работы системы при t=100 ч для: а) резерв отсутствует; б) имеется общее дублирование системы в целом.</t>
        </is>
      </c>
      <c r="C7" s="32" t="n"/>
      <c r="D7" s="32" t="n"/>
      <c r="E7" s="32" t="n"/>
      <c r="F7" s="32" t="n"/>
      <c r="G7" s="32" t="n"/>
    </row>
    <row r="8" ht="20" customHeight="1">
      <c r="B8" s="33" t="inlineStr">
        <is>
          <t>Параметр / Величина</t>
        </is>
      </c>
      <c r="C8" s="33" t="inlineStr">
        <is>
          <t>Обозначение</t>
        </is>
      </c>
      <c r="D8" s="33" t="inlineStr">
        <is>
          <t>Формула / Источник</t>
        </is>
      </c>
      <c r="E8" s="33" t="inlineStr">
        <is>
          <t>Значение</t>
        </is>
      </c>
      <c r="F8" s="33" t="inlineStr">
        <is>
          <t>Ед. изм.</t>
        </is>
      </c>
      <c r="G8" s="33" t="inlineStr">
        <is>
          <t>Примечание</t>
        </is>
      </c>
    </row>
    <row r="9" ht="19" customHeight="1">
      <c r="B9" s="14" t="inlineStr">
        <is>
          <t>Интенсивность отказов блока 1</t>
        </is>
      </c>
      <c r="C9" s="15" t="inlineStr">
        <is>
          <t>λ1</t>
        </is>
      </c>
      <c r="D9" s="15" t="inlineStr">
        <is>
          <t>Дано</t>
        </is>
      </c>
      <c r="E9" s="34" t="n">
        <v>0.0004</v>
      </c>
      <c r="F9" s="17" t="inlineStr">
        <is>
          <t>1/ч</t>
        </is>
      </c>
      <c r="G9" s="35" t="inlineStr">
        <is>
          <t>Блок Б1 (4.0*10^-4)</t>
        </is>
      </c>
    </row>
    <row r="10" ht="19" customHeight="1">
      <c r="B10" s="14" t="inlineStr">
        <is>
          <t>Интенсивность отказов блока 2</t>
        </is>
      </c>
      <c r="C10" s="15" t="inlineStr">
        <is>
          <t>λ2</t>
        </is>
      </c>
      <c r="D10" s="15" t="inlineStr">
        <is>
          <t>Дано</t>
        </is>
      </c>
      <c r="E10" s="34" t="n">
        <v>0.00025</v>
      </c>
      <c r="F10" s="17" t="inlineStr">
        <is>
          <t>1/ч</t>
        </is>
      </c>
      <c r="G10" s="35" t="inlineStr">
        <is>
          <t>Блок Б2 (2.5*10^-4)</t>
        </is>
      </c>
    </row>
    <row r="11" ht="19" customHeight="1">
      <c r="B11" s="14" t="inlineStr">
        <is>
          <t>Интенсивность отказов блока 3</t>
        </is>
      </c>
      <c r="C11" s="15" t="inlineStr">
        <is>
          <t>λ3</t>
        </is>
      </c>
      <c r="D11" s="15" t="inlineStr">
        <is>
          <t>Дано</t>
        </is>
      </c>
      <c r="E11" s="34" t="n">
        <v>0.0003</v>
      </c>
      <c r="F11" s="17" t="inlineStr">
        <is>
          <t>1/ч</t>
        </is>
      </c>
      <c r="G11" s="35" t="inlineStr">
        <is>
          <t>Блок Б3 (3.0*10^-4)</t>
        </is>
      </c>
    </row>
    <row r="12" ht="19" customHeight="1">
      <c r="B12" s="14" t="inlineStr">
        <is>
          <t>Время работы системы</t>
        </is>
      </c>
      <c r="C12" s="15" t="inlineStr">
        <is>
          <t>t</t>
        </is>
      </c>
      <c r="D12" s="15" t="inlineStr">
        <is>
          <t>Дано</t>
        </is>
      </c>
      <c r="E12" s="36" t="n">
        <v>100</v>
      </c>
      <c r="F12" s="17" t="inlineStr">
        <is>
          <t>ч</t>
        </is>
      </c>
      <c r="G12" s="35" t="inlineStr">
        <is>
          <t>Контрольная наработка</t>
        </is>
      </c>
    </row>
    <row r="13" ht="20" customHeight="1">
      <c r="B13" s="10" t="inlineStr">
        <is>
          <t>Суммарная интенсивность цепи</t>
        </is>
      </c>
      <c r="C13" s="20" t="inlineStr">
        <is>
          <t>λ0</t>
        </is>
      </c>
      <c r="D13" s="37" t="inlineStr">
        <is>
          <t>λ1 + λ2 + λ3</t>
        </is>
      </c>
      <c r="E13" s="38">
        <f>E9+E10+E11</f>
        <v/>
      </c>
      <c r="F13" s="22" t="inlineStr">
        <is>
          <t>1/ч</t>
        </is>
      </c>
      <c r="G13" s="39" t="inlineStr">
        <is>
          <t>Интенсивность цепи без резерва</t>
        </is>
      </c>
    </row>
    <row r="14" ht="20" customHeight="1">
      <c r="B14" s="40" t="inlineStr">
        <is>
          <t>а) Вероятность без резерва</t>
        </is>
      </c>
      <c r="C14" s="41" t="inlineStr">
        <is>
          <t>Pc_нр</t>
        </is>
      </c>
      <c r="D14" s="42" t="inlineStr">
        <is>
          <t>EXP(-λ0 * t)</t>
        </is>
      </c>
      <c r="E14" s="43">
        <f>EXP(-E13*E12)</f>
        <v/>
      </c>
      <c r="F14" s="44" t="inlineStr">
        <is>
          <t>—</t>
        </is>
      </c>
      <c r="G14" s="45" t="inlineStr">
        <is>
          <t>Экспоненциальный закон цепи</t>
        </is>
      </c>
    </row>
    <row r="15" ht="20" customHeight="1">
      <c r="B15" s="40" t="inlineStr">
        <is>
          <t>б) Вероятность при общем дублировании</t>
        </is>
      </c>
      <c r="C15" s="41" t="inlineStr">
        <is>
          <t>Pc_дубл</t>
        </is>
      </c>
      <c r="D15" s="42" t="inlineStr">
        <is>
          <t>1 - (1 - EXP(-λ0*t))^2</t>
        </is>
      </c>
      <c r="E15" s="43">
        <f>1-(1-EXP(-E13*E12))^2</f>
        <v/>
      </c>
      <c r="F15" s="44" t="inlineStr">
        <is>
          <t>—</t>
        </is>
      </c>
      <c r="G15" s="45" t="inlineStr">
        <is>
          <t>Постоянный нагруженный резерв (m=1)</t>
        </is>
      </c>
    </row>
    <row r="16" ht="20" customHeight="1">
      <c r="B16" s="10" t="inlineStr">
        <is>
          <t>Выигрыш по надежности</t>
        </is>
      </c>
      <c r="C16" s="20" t="inlineStr">
        <is>
          <t>ΔPc</t>
        </is>
      </c>
      <c r="D16" s="37" t="inlineStr">
        <is>
          <t>Pc_дубл - Pc_нр</t>
        </is>
      </c>
      <c r="E16" s="46">
        <f>E15-E14</f>
        <v/>
      </c>
      <c r="F16" s="22" t="inlineStr">
        <is>
          <t>—</t>
        </is>
      </c>
      <c r="G16" s="39" t="inlineStr">
        <is>
          <t>Абсолютный прирост вероятности</t>
        </is>
      </c>
    </row>
    <row r="17" ht="24" customHeight="1">
      <c r="B17" s="47" t="inlineStr">
        <is>
          <t>Вывод: Общее дублирование повышает вероятность безотказной работы с 90.94% до 99.18% (прирост +8.24%).</t>
        </is>
      </c>
      <c r="C17" s="48" t="n"/>
      <c r="D17" s="48" t="n"/>
      <c r="E17" s="48" t="n"/>
      <c r="F17" s="48" t="n"/>
      <c r="G17" s="48" t="n"/>
    </row>
    <row r="20" ht="22" customHeight="1">
      <c r="B20" s="29" t="inlineStr">
        <is>
          <t>ЗАДАЧА № 5. АНАЛИЗ ЛОГИЧЕСКОЙ СХЕМЫ С РЕЗЕРВИРОВАННОЙ ЧАСТЬЮ (РИС. 4.3)</t>
        </is>
      </c>
      <c r="C20" s="30" t="n"/>
      <c r="D20" s="30" t="n"/>
      <c r="E20" s="30" t="n"/>
      <c r="F20" s="30" t="n"/>
      <c r="G20" s="30" t="n"/>
    </row>
    <row r="21" ht="36" customHeight="1">
      <c r="B21" s="31" t="inlineStr">
        <is>
          <t>Условие: Для логической схемы на рис. 4.3 определить Pc(t), mtc, fc(t), λc(t). Часть I: две параллельные ветви по 4 последовательных блока λ. Часть II: последовательно включен 1 блок λ. Резерв нагруженный, отказы независимы.</t>
        </is>
      </c>
      <c r="C21" s="32" t="n"/>
      <c r="D21" s="32" t="n"/>
      <c r="E21" s="32" t="n"/>
      <c r="F21" s="32" t="n"/>
      <c r="G21" s="32" t="n"/>
    </row>
    <row r="22" ht="20" customHeight="1">
      <c r="B22" s="33" t="inlineStr">
        <is>
          <t>Параметр / Величина</t>
        </is>
      </c>
      <c r="C22" s="33" t="inlineStr">
        <is>
          <t>Обозначение</t>
        </is>
      </c>
      <c r="D22" s="33" t="inlineStr">
        <is>
          <t>Формула / Источник</t>
        </is>
      </c>
      <c r="E22" s="33" t="inlineStr">
        <is>
          <t>Значение</t>
        </is>
      </c>
      <c r="F22" s="33" t="inlineStr">
        <is>
          <t>Ед. изм.</t>
        </is>
      </c>
      <c r="G22" s="33" t="inlineStr">
        <is>
          <t>Примечание</t>
        </is>
      </c>
    </row>
    <row r="23" ht="19" customHeight="1">
      <c r="B23" s="14" t="inlineStr">
        <is>
          <t>Число блоков в параллельной ветви</t>
        </is>
      </c>
      <c r="C23" s="15" t="inlineStr">
        <is>
          <t>n_ветвь</t>
        </is>
      </c>
      <c r="D23" s="15" t="inlineStr">
        <is>
          <t>Рис. 4.3</t>
        </is>
      </c>
      <c r="E23" s="49" t="n">
        <v>4</v>
      </c>
      <c r="F23" s="17" t="inlineStr">
        <is>
          <t>шт.</t>
        </is>
      </c>
      <c r="G23" s="35" t="inlineStr">
        <is>
          <t>4 блока в каждой из двух ветвей</t>
        </is>
      </c>
    </row>
    <row r="24" ht="19" customHeight="1">
      <c r="B24" s="14" t="inlineStr">
        <is>
          <t>Кратность резервирования части I</t>
        </is>
      </c>
      <c r="C24" s="15" t="inlineStr">
        <is>
          <t>m</t>
        </is>
      </c>
      <c r="D24" s="15" t="inlineStr">
        <is>
          <t>Рис. 4.3</t>
        </is>
      </c>
      <c r="E24" s="49" t="n">
        <v>1</v>
      </c>
      <c r="F24" s="17" t="inlineStr">
        <is>
          <t>—</t>
        </is>
      </c>
      <c r="G24" s="35" t="inlineStr">
        <is>
          <t>Дублирование ветви из 4 блоков</t>
        </is>
      </c>
    </row>
    <row r="25" ht="19" customHeight="1">
      <c r="B25" s="14" t="inlineStr">
        <is>
          <t>Интенсивность отказов блока (базовая)</t>
        </is>
      </c>
      <c r="C25" s="15" t="inlineStr">
        <is>
          <t>λ</t>
        </is>
      </c>
      <c r="D25" s="15" t="inlineStr">
        <is>
          <t>Принято</t>
        </is>
      </c>
      <c r="E25" s="34" t="n">
        <v>0.0001</v>
      </c>
      <c r="F25" s="17" t="inlineStr">
        <is>
          <t>1/ч</t>
        </is>
      </c>
      <c r="G25" s="35" t="inlineStr">
        <is>
          <t>Для численной оценки (1.0*10^-4)</t>
        </is>
      </c>
    </row>
    <row r="26" ht="19" customHeight="1">
      <c r="B26" s="14" t="inlineStr">
        <is>
          <t>Время оценки</t>
        </is>
      </c>
      <c r="C26" s="15" t="inlineStr">
        <is>
          <t>t</t>
        </is>
      </c>
      <c r="D26" s="15" t="inlineStr">
        <is>
          <t>Принято</t>
        </is>
      </c>
      <c r="E26" s="36" t="n">
        <v>100</v>
      </c>
      <c r="F26" s="17" t="inlineStr">
        <is>
          <t>ч</t>
        </is>
      </c>
      <c r="G26" s="35" t="inlineStr">
        <is>
          <t>Контрольная наработка</t>
        </is>
      </c>
    </row>
    <row r="27" ht="20" customHeight="1">
      <c r="B27" s="10" t="inlineStr">
        <is>
          <t>Интенсивность одной ветви</t>
        </is>
      </c>
      <c r="C27" s="20" t="inlineStr">
        <is>
          <t>λ_в</t>
        </is>
      </c>
      <c r="D27" s="37" t="inlineStr">
        <is>
          <t>4 * λ</t>
        </is>
      </c>
      <c r="E27" s="38">
        <f>4*E25</f>
        <v/>
      </c>
      <c r="F27" s="22" t="inlineStr">
        <is>
          <t>1/ч</t>
        </is>
      </c>
      <c r="G27" s="39" t="inlineStr">
        <is>
          <t>Цепь из 4 последовательных блоков</t>
        </is>
      </c>
    </row>
    <row r="28" ht="20" customHeight="1">
      <c r="B28" s="40" t="inlineStr">
        <is>
          <t>Вероятность системы Pc(t)</t>
        </is>
      </c>
      <c r="C28" s="41" t="inlineStr">
        <is>
          <t>Pc(t)</t>
        </is>
      </c>
      <c r="D28" s="42" t="inlineStr">
        <is>
          <t>2*EXP(-5*λ*t) - EXP(-9*λ*t)</t>
        </is>
      </c>
      <c r="E28" s="43">
        <f>2*EXP(-5*E25*E26)-EXP(-9*E25*E26)</f>
        <v/>
      </c>
      <c r="F28" s="44" t="inlineStr">
        <is>
          <t>—</t>
        </is>
      </c>
      <c r="G28" s="45" t="inlineStr">
        <is>
          <t>Pc(t) = (2e^-4λt - e^-8λt)*e^-λt</t>
        </is>
      </c>
    </row>
    <row r="29" ht="20" customHeight="1">
      <c r="B29" s="40" t="inlineStr">
        <is>
          <t>Средняя наработка до отказа mtc</t>
        </is>
      </c>
      <c r="C29" s="41" t="inlineStr">
        <is>
          <t>mtc</t>
        </is>
      </c>
      <c r="D29" s="42" t="inlineStr">
        <is>
          <t>13 / (45 * λ)</t>
        </is>
      </c>
      <c r="E29" s="50">
        <f>13/(45*E25)</f>
        <v/>
      </c>
      <c r="F29" s="44" t="inlineStr">
        <is>
          <t>ч</t>
        </is>
      </c>
      <c r="G29" s="45" t="inlineStr">
        <is>
          <t>mtc = 2/(5λ) - 1/(9λ) = 13/(45λ)</t>
        </is>
      </c>
    </row>
    <row r="30" ht="20" customHeight="1">
      <c r="B30" s="40" t="inlineStr">
        <is>
          <t>Частота отказов системы fc(t)</t>
        </is>
      </c>
      <c r="C30" s="41" t="inlineStr">
        <is>
          <t>fc(t)</t>
        </is>
      </c>
      <c r="D30" s="42" t="inlineStr">
        <is>
          <t>10*λ*EXP(-5*λ*t) - 9*λ*EXP(-9*λ*t)</t>
        </is>
      </c>
      <c r="E30" s="51">
        <f>10*E25*EXP(-5*E25*E26)-9*E25*EXP(-9*E25*E26)</f>
        <v/>
      </c>
      <c r="F30" s="44" t="inlineStr">
        <is>
          <t>1/ч</t>
        </is>
      </c>
      <c r="G30" s="45" t="inlineStr">
        <is>
          <t>fc(t) = -dPc(t)/dt</t>
        </is>
      </c>
    </row>
    <row r="31" ht="20" customHeight="1">
      <c r="B31" s="40" t="inlineStr">
        <is>
          <t>Интенсивность отказов системы λc(t)</t>
        </is>
      </c>
      <c r="C31" s="41" t="inlineStr">
        <is>
          <t>λc(t)</t>
        </is>
      </c>
      <c r="D31" s="42" t="inlineStr">
        <is>
          <t>fc(t) / Pc(t)</t>
        </is>
      </c>
      <c r="E31" s="51">
        <f>E30/E28</f>
        <v/>
      </c>
      <c r="F31" s="44" t="inlineStr">
        <is>
          <t>1/ч</t>
        </is>
      </c>
      <c r="G31" s="45" t="inlineStr">
        <is>
          <t>λc(t) = λ*(10 - 9e^-4λt)/(2 - e^-4λt)</t>
        </is>
      </c>
    </row>
    <row r="32" ht="24" customHeight="1">
      <c r="B32" s="47" t="inlineStr">
        <is>
          <t>Вывод: Аналитические выражения: Pc(t) = 2e^-5λt - e^-9λt; mtc = 13/(45λ); fc(t) = 10λe^-5λt - 9λe^-9λt; λc(t) = λ(10-9e^-4λt)/(2-e^-4λt).</t>
        </is>
      </c>
      <c r="C32" s="48" t="n"/>
      <c r="D32" s="48" t="n"/>
      <c r="E32" s="48" t="n"/>
      <c r="F32" s="48" t="n"/>
      <c r="G32" s="48" t="n"/>
    </row>
    <row r="35" ht="22" customHeight="1">
      <c r="B35" s="29" t="inlineStr">
        <is>
          <t>ЗАДАЧА № 6. ОБЩЕЕ ПОСТОЯННОЕ ДУБЛИРОВАНИЕ РАДИОПЕРЕДАТЧИКА (n = 3)</t>
        </is>
      </c>
      <c r="C35" s="30" t="n"/>
      <c r="D35" s="30" t="n"/>
      <c r="E35" s="30" t="n"/>
      <c r="F35" s="30" t="n"/>
      <c r="G35" s="30" t="n"/>
    </row>
    <row r="36" ht="36" customHeight="1">
      <c r="B36" s="31" t="inlineStr">
        <is>
          <t>Условие: В радиопередатчике из 3 равнонадежных каскадов (n=3) применено общее постоянное дублирование. Интенсивность каскада λ=5*10^-4 1/ч. Определить Pc(t), mtc, fc(t), λc(t) радиопередатчика с дублированием.</t>
        </is>
      </c>
      <c r="C36" s="32" t="n"/>
      <c r="D36" s="32" t="n"/>
      <c r="E36" s="32" t="n"/>
      <c r="F36" s="32" t="n"/>
      <c r="G36" s="32" t="n"/>
    </row>
    <row r="37" ht="20" customHeight="1">
      <c r="B37" s="33" t="inlineStr">
        <is>
          <t>Параметр / Величина</t>
        </is>
      </c>
      <c r="C37" s="33" t="inlineStr">
        <is>
          <t>Обозначение</t>
        </is>
      </c>
      <c r="D37" s="33" t="inlineStr">
        <is>
          <t>Формула / Источник</t>
        </is>
      </c>
      <c r="E37" s="33" t="inlineStr">
        <is>
          <t>Значение</t>
        </is>
      </c>
      <c r="F37" s="33" t="inlineStr">
        <is>
          <t>Ед. изм.</t>
        </is>
      </c>
      <c r="G37" s="33" t="inlineStr">
        <is>
          <t>Примечание</t>
        </is>
      </c>
    </row>
    <row r="38" ht="19" customHeight="1">
      <c r="B38" s="14" t="inlineStr">
        <is>
          <t>Число каскадов радиопередатчика</t>
        </is>
      </c>
      <c r="C38" s="15" t="inlineStr">
        <is>
          <t>n</t>
        </is>
      </c>
      <c r="D38" s="15" t="inlineStr">
        <is>
          <t>Дано</t>
        </is>
      </c>
      <c r="E38" s="49" t="n">
        <v>3</v>
      </c>
      <c r="F38" s="17" t="inlineStr">
        <is>
          <t>шт.</t>
        </is>
      </c>
      <c r="G38" s="35" t="inlineStr">
        <is>
          <t>Последовательные каскады</t>
        </is>
      </c>
    </row>
    <row r="39" ht="19" customHeight="1">
      <c r="B39" s="14" t="inlineStr">
        <is>
          <t>Интенсивность отказов каскада</t>
        </is>
      </c>
      <c r="C39" s="15" t="inlineStr">
        <is>
          <t>λ</t>
        </is>
      </c>
      <c r="D39" s="15" t="inlineStr">
        <is>
          <t>Дано</t>
        </is>
      </c>
      <c r="E39" s="34" t="n">
        <v>0.0005</v>
      </c>
      <c r="F39" s="17" t="inlineStr">
        <is>
          <t>1/ч</t>
        </is>
      </c>
      <c r="G39" s="35" t="inlineStr">
        <is>
          <t>λ = 5.0*10^-4 1/ч</t>
        </is>
      </c>
    </row>
    <row r="40" ht="19" customHeight="1">
      <c r="B40" s="14" t="inlineStr">
        <is>
          <t>Контрольное время наработки</t>
        </is>
      </c>
      <c r="C40" s="15" t="inlineStr">
        <is>
          <t>t</t>
        </is>
      </c>
      <c r="D40" s="15" t="inlineStr">
        <is>
          <t>Принято</t>
        </is>
      </c>
      <c r="E40" s="36" t="n">
        <v>100</v>
      </c>
      <c r="F40" s="17" t="inlineStr">
        <is>
          <t>ч</t>
        </is>
      </c>
      <c r="G40" s="35" t="inlineStr">
        <is>
          <t>Контрольная наработка t = 100 ч</t>
        </is>
      </c>
    </row>
    <row r="41" ht="20" customHeight="1">
      <c r="B41" s="10" t="inlineStr">
        <is>
          <t>Интенсивность цепи радиопередатчика</t>
        </is>
      </c>
      <c r="C41" s="20" t="inlineStr">
        <is>
          <t>λ0</t>
        </is>
      </c>
      <c r="D41" s="37" t="inlineStr">
        <is>
          <t>n * λ</t>
        </is>
      </c>
      <c r="E41" s="38">
        <f>E38*E39</f>
        <v/>
      </c>
      <c r="F41" s="22" t="inlineStr">
        <is>
          <t>1/ч</t>
        </is>
      </c>
      <c r="G41" s="39" t="inlineStr">
        <is>
          <t>λ0 = 3 * 0.0005 = 0.0015 1/ч</t>
        </is>
      </c>
    </row>
    <row r="42" ht="20" customHeight="1">
      <c r="B42" s="40" t="inlineStr">
        <is>
          <t>Средняя наработка до отказа mtc</t>
        </is>
      </c>
      <c r="C42" s="41" t="inlineStr">
        <is>
          <t>mtc</t>
        </is>
      </c>
      <c r="D42" s="42" t="inlineStr">
        <is>
          <t>1.5 / λ0</t>
        </is>
      </c>
      <c r="E42" s="50">
        <f>1.5/E41</f>
        <v/>
      </c>
      <c r="F42" s="44" t="inlineStr">
        <is>
          <t>ч</t>
        </is>
      </c>
      <c r="G42" s="45" t="inlineStr">
        <is>
          <t>mtc = 1.5 * T0 = 1.5 / 0.0015</t>
        </is>
      </c>
    </row>
    <row r="43" ht="20" customHeight="1">
      <c r="B43" s="40" t="inlineStr">
        <is>
          <t>Вероятность безотказной работы Pc(t)</t>
        </is>
      </c>
      <c r="C43" s="41" t="inlineStr">
        <is>
          <t>Pc(t)</t>
        </is>
      </c>
      <c r="D43" s="42" t="inlineStr">
        <is>
          <t>1 - (1 - EXP(-λ0*t))^2</t>
        </is>
      </c>
      <c r="E43" s="43">
        <f>1-(1-EXP(-E41*E40))^2</f>
        <v/>
      </c>
      <c r="F43" s="44" t="inlineStr">
        <is>
          <t>—</t>
        </is>
      </c>
      <c r="G43" s="45" t="inlineStr">
        <is>
          <t>Pc(t) = 2e^-λ0t - e^-2λ0t</t>
        </is>
      </c>
    </row>
    <row r="44" ht="20" customHeight="1">
      <c r="B44" s="40" t="inlineStr">
        <is>
          <t>Частота отказов системы fc(t)</t>
        </is>
      </c>
      <c r="C44" s="41" t="inlineStr">
        <is>
          <t>fc(t)</t>
        </is>
      </c>
      <c r="D44" s="42" t="inlineStr">
        <is>
          <t>2*λ0*EXP(-λ0*t)*(1-EXP(-λ0*t))</t>
        </is>
      </c>
      <c r="E44" s="51">
        <f>2*E41*EXP(-E41*E40)*(1-EXP(-E41*E40))</f>
        <v/>
      </c>
      <c r="F44" s="44" t="inlineStr">
        <is>
          <t>1/ч</t>
        </is>
      </c>
      <c r="G44" s="45" t="inlineStr">
        <is>
          <t>fc(t) = 0.003*e^-0.0015t*(1-e^-0.0015t)</t>
        </is>
      </c>
    </row>
    <row r="45" ht="20" customHeight="1">
      <c r="B45" s="40" t="inlineStr">
        <is>
          <t>Интенсивность отказов системы λc(t)</t>
        </is>
      </c>
      <c r="C45" s="41" t="inlineStr">
        <is>
          <t>λc(t)</t>
        </is>
      </c>
      <c r="D45" s="42" t="inlineStr">
        <is>
          <t>fc(t) / Pc(t)</t>
        </is>
      </c>
      <c r="E45" s="51">
        <f>E44/E43</f>
        <v/>
      </c>
      <c r="F45" s="44" t="inlineStr">
        <is>
          <t>1/ч</t>
        </is>
      </c>
      <c r="G45" s="45" t="inlineStr">
        <is>
          <t>λc(t) = 0.003*(1-e^-0.0015t)/(2-e^-0.0015t)</t>
        </is>
      </c>
    </row>
    <row r="46" ht="24" customHeight="1">
      <c r="B46" s="47" t="inlineStr">
        <is>
          <t>Вывод: mtc = 1000 ч; аналитические зависимости: Pc(t) = 2e^-0.0015t - e^-0.003t; fc(t) = 0.003e^-0.0015t(1-e^-0.0015t). При t=100 ч Pc=0.9806.</t>
        </is>
      </c>
      <c r="C46" s="48" t="n"/>
      <c r="D46" s="48" t="n"/>
      <c r="E46" s="48" t="n"/>
      <c r="F46" s="48" t="n"/>
      <c r="G46" s="48" t="n"/>
    </row>
    <row r="49" ht="22" customHeight="1">
      <c r="B49" s="29" t="inlineStr">
        <is>
          <t>ЗАДАЧА № 7. ИНТЕНСИВНОСТЬ ОТКАЗОВ СИСТЕМЫ ДУБЛИРОВАНИЯ ЦЕПИ (РИС. 4.4)</t>
        </is>
      </c>
      <c r="C49" s="30" t="n"/>
      <c r="D49" s="30" t="n"/>
      <c r="E49" s="30" t="n"/>
      <c r="F49" s="30" t="n"/>
      <c r="G49" s="30" t="n"/>
    </row>
    <row r="50" ht="36" customHeight="1">
      <c r="B50" s="31" t="inlineStr">
        <is>
          <t>Условие: Для схемы на рис. 4.4 определить интенсивность отказов λc(t). Схема представляет собой две параллельные ветви, в каждой из которых по 4 блока λ. Резерв нагруженный, отказы независимы.</t>
        </is>
      </c>
      <c r="C50" s="32" t="n"/>
      <c r="D50" s="32" t="n"/>
      <c r="E50" s="32" t="n"/>
      <c r="F50" s="32" t="n"/>
      <c r="G50" s="32" t="n"/>
    </row>
    <row r="51" ht="20" customHeight="1">
      <c r="B51" s="33" t="inlineStr">
        <is>
          <t>Параметр / Величина</t>
        </is>
      </c>
      <c r="C51" s="33" t="inlineStr">
        <is>
          <t>Обозначение</t>
        </is>
      </c>
      <c r="D51" s="33" t="inlineStr">
        <is>
          <t>Формула / Источник</t>
        </is>
      </c>
      <c r="E51" s="33" t="inlineStr">
        <is>
          <t>Значение</t>
        </is>
      </c>
      <c r="F51" s="33" t="inlineStr">
        <is>
          <t>Ед. изм.</t>
        </is>
      </c>
      <c r="G51" s="33" t="inlineStr">
        <is>
          <t>Примечание</t>
        </is>
      </c>
    </row>
    <row r="52" ht="19" customHeight="1">
      <c r="B52" s="14" t="inlineStr">
        <is>
          <t>Число блоков в одной цепи</t>
        </is>
      </c>
      <c r="C52" s="15" t="inlineStr">
        <is>
          <t>n</t>
        </is>
      </c>
      <c r="D52" s="15" t="inlineStr">
        <is>
          <t>Рис. 4.4</t>
        </is>
      </c>
      <c r="E52" s="49" t="n">
        <v>4</v>
      </c>
      <c r="F52" s="17" t="inlineStr">
        <is>
          <t>шт.</t>
        </is>
      </c>
      <c r="G52" s="35" t="inlineStr">
        <is>
          <t>Последовательные блоки ветви</t>
        </is>
      </c>
    </row>
    <row r="53" ht="19" customHeight="1">
      <c r="B53" s="14" t="inlineStr">
        <is>
          <t>Интенсивность блока (базовая)</t>
        </is>
      </c>
      <c r="C53" s="15" t="inlineStr">
        <is>
          <t>λ</t>
        </is>
      </c>
      <c r="D53" s="15" t="inlineStr">
        <is>
          <t>Принято</t>
        </is>
      </c>
      <c r="E53" s="34" t="n">
        <v>0.0001</v>
      </c>
      <c r="F53" s="17" t="inlineStr">
        <is>
          <t>1/ч</t>
        </is>
      </c>
      <c r="G53" s="35" t="inlineStr">
        <is>
          <t>λ = 1.0*10^-4 1/ч</t>
        </is>
      </c>
    </row>
    <row r="54" ht="19" customHeight="1">
      <c r="B54" s="14" t="inlineStr">
        <is>
          <t>Время оценки</t>
        </is>
      </c>
      <c r="C54" s="15" t="inlineStr">
        <is>
          <t>t</t>
        </is>
      </c>
      <c r="D54" s="15" t="inlineStr">
        <is>
          <t>Принято</t>
        </is>
      </c>
      <c r="E54" s="36" t="n">
        <v>100</v>
      </c>
      <c r="F54" s="17" t="inlineStr">
        <is>
          <t>ч</t>
        </is>
      </c>
      <c r="G54" s="35" t="inlineStr">
        <is>
          <t>Контрольная наработка t = 100 ч</t>
        </is>
      </c>
    </row>
    <row r="55" ht="20" customHeight="1">
      <c r="B55" s="10" t="inlineStr">
        <is>
          <t>Интенсивность одной цепи</t>
        </is>
      </c>
      <c r="C55" s="20" t="inlineStr">
        <is>
          <t>λ0</t>
        </is>
      </c>
      <c r="D55" s="37" t="inlineStr">
        <is>
          <t>n * λ</t>
        </is>
      </c>
      <c r="E55" s="38">
        <f>E52*E53</f>
        <v/>
      </c>
      <c r="F55" s="22" t="inlineStr">
        <is>
          <t>1/ч</t>
        </is>
      </c>
      <c r="G55" s="39" t="inlineStr">
        <is>
          <t>λ0 = 4λ = 0.0004 1/ч</t>
        </is>
      </c>
    </row>
    <row r="56" ht="20" customHeight="1">
      <c r="B56" s="40" t="inlineStr">
        <is>
          <t>Средняя наработка схемы mtc</t>
        </is>
      </c>
      <c r="C56" s="41" t="inlineStr">
        <is>
          <t>mtc</t>
        </is>
      </c>
      <c r="D56" s="42" t="inlineStr">
        <is>
          <t>1.5 / λ0</t>
        </is>
      </c>
      <c r="E56" s="50">
        <f>1.5/E55</f>
        <v/>
      </c>
      <c r="F56" s="44" t="inlineStr">
        <is>
          <t>ч</t>
        </is>
      </c>
      <c r="G56" s="45" t="inlineStr">
        <is>
          <t>mtc = 3/(8λ) = 0.375/λ</t>
        </is>
      </c>
    </row>
    <row r="57" ht="20" customHeight="1">
      <c r="B57" s="10" t="inlineStr">
        <is>
          <t>Вероятность системы Pc(t)</t>
        </is>
      </c>
      <c r="C57" s="20" t="inlineStr">
        <is>
          <t>Pc(t)</t>
        </is>
      </c>
      <c r="D57" s="37" t="inlineStr">
        <is>
          <t>1 - (1 - EXP(-λ0*t))^2</t>
        </is>
      </c>
      <c r="E57" s="46">
        <f>1-(1-EXP(-E55*E54))^2</f>
        <v/>
      </c>
      <c r="F57" s="22" t="inlineStr">
        <is>
          <t>—</t>
        </is>
      </c>
      <c r="G57" s="39" t="inlineStr">
        <is>
          <t>Pc(t) = 2e^-4λt - e^-8λt</t>
        </is>
      </c>
    </row>
    <row r="58" ht="20" customHeight="1">
      <c r="B58" s="40" t="inlineStr">
        <is>
          <t>Интенсивность отказов системы λc(t)</t>
        </is>
      </c>
      <c r="C58" s="41" t="inlineStr">
        <is>
          <t>λc(t)</t>
        </is>
      </c>
      <c r="D58" s="42" t="inlineStr">
        <is>
          <t>(8*λ*(1-EXP(-4*λ*t)))/(2-EXP(-4*λ*t))</t>
        </is>
      </c>
      <c r="E58" s="51">
        <f>(8*E53*(1-EXP(-4*E53*E54)))/(2-EXP(-4*E53*E54))</f>
        <v/>
      </c>
      <c r="F58" s="44" t="inlineStr">
        <is>
          <t>1/ч</t>
        </is>
      </c>
      <c r="G58" s="45" t="inlineStr">
        <is>
          <t>λc(t) = 8λ(1-e^-4λt)/(2-e^-4λt)</t>
        </is>
      </c>
    </row>
    <row r="59" ht="24" customHeight="1">
      <c r="B59" s="47" t="inlineStr">
        <is>
          <t>Вывод: Аналитическая формула интенсивности отказов: λc(t) = 8λ(1 - e^-4λt) / (2 - e^-4λt); средняя наработка mtc = 3/(8λ).</t>
        </is>
      </c>
      <c r="C59" s="48" t="n"/>
      <c r="D59" s="48" t="n"/>
      <c r="E59" s="48" t="n"/>
      <c r="F59" s="48" t="n"/>
      <c r="G59" s="48" t="n"/>
    </row>
    <row r="62" ht="22" customHeight="1">
      <c r="B62" s="29" t="inlineStr">
        <is>
          <t>ЗАДАЧА № 8. ВЕРОЯТНОСТЬ БЕЗОТКАЗНОЙ РАБОТЫ ТРЕХБЛОЧНОЙ СИСТЕМЫ</t>
        </is>
      </c>
      <c r="C62" s="30" t="n"/>
      <c r="D62" s="30" t="n"/>
      <c r="E62" s="30" t="n"/>
      <c r="F62" s="30" t="n"/>
      <c r="G62" s="30" t="n"/>
    </row>
    <row r="63" ht="36" customHeight="1">
      <c r="B63" s="31" t="inlineStr">
        <is>
          <t>Условие: Технологическая система состоит из трех блоков I, II, III с интенсивностями λ1, λ2, λ3. Определить Pc(t) для случаев: а) резерв отсутствует; б) имеется дублирование системы в целом.</t>
        </is>
      </c>
      <c r="C63" s="32" t="n"/>
      <c r="D63" s="32" t="n"/>
      <c r="E63" s="32" t="n"/>
      <c r="F63" s="32" t="n"/>
      <c r="G63" s="32" t="n"/>
    </row>
    <row r="64" ht="20" customHeight="1">
      <c r="B64" s="33" t="inlineStr">
        <is>
          <t>Параметр / Величина</t>
        </is>
      </c>
      <c r="C64" s="33" t="inlineStr">
        <is>
          <t>Обозначение</t>
        </is>
      </c>
      <c r="D64" s="33" t="inlineStr">
        <is>
          <t>Формула / Источник</t>
        </is>
      </c>
      <c r="E64" s="33" t="inlineStr">
        <is>
          <t>Значение</t>
        </is>
      </c>
      <c r="F64" s="33" t="inlineStr">
        <is>
          <t>Ед. изм.</t>
        </is>
      </c>
      <c r="G64" s="33" t="inlineStr">
        <is>
          <t>Примечание</t>
        </is>
      </c>
    </row>
    <row r="65" ht="19" customHeight="1">
      <c r="B65" s="14" t="inlineStr">
        <is>
          <t>Интенсивность блока I (пример)</t>
        </is>
      </c>
      <c r="C65" s="15" t="inlineStr">
        <is>
          <t>λ1</t>
        </is>
      </c>
      <c r="D65" s="15" t="inlineStr">
        <is>
          <t>Принято</t>
        </is>
      </c>
      <c r="E65" s="34" t="n">
        <v>0.0002</v>
      </c>
      <c r="F65" s="17" t="inlineStr">
        <is>
          <t>1/ч</t>
        </is>
      </c>
      <c r="G65" s="35" t="inlineStr">
        <is>
          <t>λ1 = 2.0*10^-4 1/ч</t>
        </is>
      </c>
    </row>
    <row r="66" ht="19" customHeight="1">
      <c r="B66" s="14" t="inlineStr">
        <is>
          <t>Интенсивность блока II (пример)</t>
        </is>
      </c>
      <c r="C66" s="15" t="inlineStr">
        <is>
          <t>λ2</t>
        </is>
      </c>
      <c r="D66" s="15" t="inlineStr">
        <is>
          <t>Принято</t>
        </is>
      </c>
      <c r="E66" s="34" t="n">
        <v>0.0003</v>
      </c>
      <c r="F66" s="17" t="inlineStr">
        <is>
          <t>1/ч</t>
        </is>
      </c>
      <c r="G66" s="35" t="inlineStr">
        <is>
          <t>λ2 = 3.0*10^-4 1/ч</t>
        </is>
      </c>
    </row>
    <row r="67" ht="19" customHeight="1">
      <c r="B67" s="14" t="inlineStr">
        <is>
          <t>Интенсивность блока III (пример)</t>
        </is>
      </c>
      <c r="C67" s="15" t="inlineStr">
        <is>
          <t>λ3</t>
        </is>
      </c>
      <c r="D67" s="15" t="inlineStr">
        <is>
          <t>Принято</t>
        </is>
      </c>
      <c r="E67" s="34" t="n">
        <v>0.0005</v>
      </c>
      <c r="F67" s="17" t="inlineStr">
        <is>
          <t>1/ч</t>
        </is>
      </c>
      <c r="G67" s="35" t="inlineStr">
        <is>
          <t>λ3 = 5.0*10^-4 1/ч</t>
        </is>
      </c>
    </row>
    <row r="68" ht="19" customHeight="1">
      <c r="B68" s="14" t="inlineStr">
        <is>
          <t>Время наработки</t>
        </is>
      </c>
      <c r="C68" s="15" t="inlineStr">
        <is>
          <t>t</t>
        </is>
      </c>
      <c r="D68" s="15" t="inlineStr">
        <is>
          <t>Принято</t>
        </is>
      </c>
      <c r="E68" s="36" t="n">
        <v>100</v>
      </c>
      <c r="F68" s="17" t="inlineStr">
        <is>
          <t>ч</t>
        </is>
      </c>
      <c r="G68" s="35" t="inlineStr">
        <is>
          <t>Контрольная точка t = 100 ч</t>
        </is>
      </c>
    </row>
    <row r="69" ht="20" customHeight="1">
      <c r="B69" s="10" t="inlineStr">
        <is>
          <t>Суммарная интенсивность цепи</t>
        </is>
      </c>
      <c r="C69" s="20" t="inlineStr">
        <is>
          <t>λ0</t>
        </is>
      </c>
      <c r="D69" s="37" t="inlineStr">
        <is>
          <t>λ1 + λ2 + λ3</t>
        </is>
      </c>
      <c r="E69" s="38">
        <f>E65+E66+E67</f>
        <v/>
      </c>
      <c r="F69" s="22" t="inlineStr">
        <is>
          <t>1/ч</t>
        </is>
      </c>
      <c r="G69" s="39" t="inlineStr">
        <is>
          <t>λ0 = 0.001 1/ч</t>
        </is>
      </c>
    </row>
    <row r="70" ht="20" customHeight="1">
      <c r="B70" s="40" t="inlineStr">
        <is>
          <t>а) Pc(t) без резерва</t>
        </is>
      </c>
      <c r="C70" s="41" t="inlineStr">
        <is>
          <t>Pc_нр</t>
        </is>
      </c>
      <c r="D70" s="42" t="inlineStr">
        <is>
          <t>EXP(-λ0 * t)</t>
        </is>
      </c>
      <c r="E70" s="43">
        <f>EXP(-E69*E68)</f>
        <v/>
      </c>
      <c r="F70" s="44" t="inlineStr">
        <is>
          <t>—</t>
        </is>
      </c>
      <c r="G70" s="45" t="inlineStr">
        <is>
          <t>Pc(t) = EXP(-(λ1+λ2+λ3)*t)</t>
        </is>
      </c>
    </row>
    <row r="71" ht="20" customHeight="1">
      <c r="B71" s="40" t="inlineStr">
        <is>
          <t>б) Pc(t) при дублировании в целом</t>
        </is>
      </c>
      <c r="C71" s="41" t="inlineStr">
        <is>
          <t>Pc_дубл</t>
        </is>
      </c>
      <c r="D71" s="42" t="inlineStr">
        <is>
          <t>1 - (1 - EXP(-λ0*t))^2</t>
        </is>
      </c>
      <c r="E71" s="43">
        <f>1-(1-EXP(-E69*E68))^2</f>
        <v/>
      </c>
      <c r="F71" s="44" t="inlineStr">
        <is>
          <t>—</t>
        </is>
      </c>
      <c r="G71" s="45" t="inlineStr">
        <is>
          <t>Pc(t) = 2e^-λ0t - e^-2λ0t</t>
        </is>
      </c>
    </row>
    <row r="72" ht="24" customHeight="1">
      <c r="B72" s="47" t="inlineStr">
        <is>
          <t>Вывод: Формулы: а) без резерва Pc(t) = e^-(λ1+λ2+λ3)t; б) дублирование в целом Pc(t) = 2e^-λ0t - e^-2λ0t, где λ0 = λ1+λ2+λ3.</t>
        </is>
      </c>
      <c r="C72" s="48" t="n"/>
      <c r="D72" s="48" t="n"/>
      <c r="E72" s="48" t="n"/>
      <c r="F72" s="48" t="n"/>
      <c r="G72" s="48" t="n"/>
    </row>
    <row r="75" ht="22" customHeight="1">
      <c r="B75" s="29" t="inlineStr">
        <is>
          <t>ЗАДАЧА № 9. РАСЧЕТ ИЗДЕЛИЯ С ТРОЙНЫМ РЕЗЕРВИРОВАНИЕМ ВЕТВЕЙ (РИС. 4.5)</t>
        </is>
      </c>
      <c r="C75" s="30" t="n"/>
      <c r="D75" s="30" t="n"/>
      <c r="E75" s="30" t="n"/>
      <c r="F75" s="30" t="n"/>
      <c r="G75" s="30" t="n"/>
    </row>
    <row r="76" ht="36" customHeight="1">
      <c r="B76" s="31" t="inlineStr">
        <is>
          <t>Условие: Схема изделия на рис. 4.5 состоит из 3 параллельных ветвей (m=2). В каждой ветви по 2 элемента: λ1=0.3*10^-3 1/ч, λ2=0.7*10^-3 1/ч. Найти Pc(100), mtc, fc(100), λc(100) при t = 100 ч.</t>
        </is>
      </c>
      <c r="C76" s="32" t="n"/>
      <c r="D76" s="32" t="n"/>
      <c r="E76" s="32" t="n"/>
      <c r="F76" s="32" t="n"/>
      <c r="G76" s="32" t="n"/>
    </row>
    <row r="77" ht="20" customHeight="1">
      <c r="B77" s="33" t="inlineStr">
        <is>
          <t>Параметр / Величина</t>
        </is>
      </c>
      <c r="C77" s="33" t="inlineStr">
        <is>
          <t>Обозначение</t>
        </is>
      </c>
      <c r="D77" s="33" t="inlineStr">
        <is>
          <t>Формула / Источник</t>
        </is>
      </c>
      <c r="E77" s="33" t="inlineStr">
        <is>
          <t>Значение</t>
        </is>
      </c>
      <c r="F77" s="33" t="inlineStr">
        <is>
          <t>Ед. изм.</t>
        </is>
      </c>
      <c r="G77" s="33" t="inlineStr">
        <is>
          <t>Примечание</t>
        </is>
      </c>
    </row>
    <row r="78" ht="19" customHeight="1">
      <c r="B78" s="14" t="inlineStr">
        <is>
          <t>Интенсивность элемента 1</t>
        </is>
      </c>
      <c r="C78" s="15" t="inlineStr">
        <is>
          <t>λ1</t>
        </is>
      </c>
      <c r="D78" s="15" t="inlineStr">
        <is>
          <t>Дано</t>
        </is>
      </c>
      <c r="E78" s="34" t="n">
        <v>0.0003</v>
      </c>
      <c r="F78" s="17" t="inlineStr">
        <is>
          <t>1/ч</t>
        </is>
      </c>
      <c r="G78" s="35" t="inlineStr">
        <is>
          <t>λ1 = 0.3*10^-3 1/ч</t>
        </is>
      </c>
    </row>
    <row r="79" ht="19" customHeight="1">
      <c r="B79" s="14" t="inlineStr">
        <is>
          <t>Интенсивность элемента 2</t>
        </is>
      </c>
      <c r="C79" s="15" t="inlineStr">
        <is>
          <t>λ2</t>
        </is>
      </c>
      <c r="D79" s="15" t="inlineStr">
        <is>
          <t>Дано</t>
        </is>
      </c>
      <c r="E79" s="34" t="n">
        <v>0.0007</v>
      </c>
      <c r="F79" s="17" t="inlineStr">
        <is>
          <t>1/ч</t>
        </is>
      </c>
      <c r="G79" s="35" t="inlineStr">
        <is>
          <t>λ2 = 0.7*10^-3 1/ч</t>
        </is>
      </c>
    </row>
    <row r="80" ht="19" customHeight="1">
      <c r="B80" s="14" t="inlineStr">
        <is>
          <t>Число параллельных ветвей</t>
        </is>
      </c>
      <c r="C80" s="15" t="inlineStr">
        <is>
          <t>k</t>
        </is>
      </c>
      <c r="D80" s="15" t="inlineStr">
        <is>
          <t>Рис. 4.5</t>
        </is>
      </c>
      <c r="E80" s="49" t="n">
        <v>3</v>
      </c>
      <c r="F80" s="17" t="inlineStr">
        <is>
          <t>шт.</t>
        </is>
      </c>
      <c r="G80" s="35" t="inlineStr">
        <is>
          <t>Основная цепь + 2 резервных (m=2)</t>
        </is>
      </c>
    </row>
    <row r="81" ht="19" customHeight="1">
      <c r="B81" s="14" t="inlineStr">
        <is>
          <t>Время наработки</t>
        </is>
      </c>
      <c r="C81" s="15" t="inlineStr">
        <is>
          <t>t</t>
        </is>
      </c>
      <c r="D81" s="15" t="inlineStr">
        <is>
          <t>Дано</t>
        </is>
      </c>
      <c r="E81" s="36" t="n">
        <v>100</v>
      </c>
      <c r="F81" s="17" t="inlineStr">
        <is>
          <t>ч</t>
        </is>
      </c>
      <c r="G81" s="35" t="inlineStr">
        <is>
          <t>Контрольная точка t = 100 ч</t>
        </is>
      </c>
    </row>
    <row r="82" ht="20" customHeight="1">
      <c r="B82" s="10" t="inlineStr">
        <is>
          <t>Интенсивность одной ветви</t>
        </is>
      </c>
      <c r="C82" s="20" t="inlineStr">
        <is>
          <t>λ0</t>
        </is>
      </c>
      <c r="D82" s="37" t="inlineStr">
        <is>
          <t>λ1 + λ2</t>
        </is>
      </c>
      <c r="E82" s="38">
        <f>E78+E79</f>
        <v/>
      </c>
      <c r="F82" s="22" t="inlineStr">
        <is>
          <t>1/ч</t>
        </is>
      </c>
      <c r="G82" s="39" t="inlineStr">
        <is>
          <t>λ0 = 0.001 1/ч (1.0*10^-3)</t>
        </is>
      </c>
    </row>
    <row r="83" ht="20" customHeight="1">
      <c r="B83" s="10" t="inlineStr">
        <is>
          <t>Вероятность одной ветви P0(t)</t>
        </is>
      </c>
      <c r="C83" s="20" t="inlineStr">
        <is>
          <t>P0(t)</t>
        </is>
      </c>
      <c r="D83" s="37" t="inlineStr">
        <is>
          <t>EXP(-λ0 * t)</t>
        </is>
      </c>
      <c r="E83" s="46">
        <f>EXP(-E82*E81)</f>
        <v/>
      </c>
      <c r="F83" s="22" t="inlineStr">
        <is>
          <t>—</t>
        </is>
      </c>
      <c r="G83" s="39" t="inlineStr">
        <is>
          <t>P0(100) = e^-0.1 ≈ 0.90484</t>
        </is>
      </c>
    </row>
    <row r="84" ht="20" customHeight="1">
      <c r="B84" s="40" t="inlineStr">
        <is>
          <t>Вероятность системы Pc(100)</t>
        </is>
      </c>
      <c r="C84" s="41" t="inlineStr">
        <is>
          <t>Pc(100)</t>
        </is>
      </c>
      <c r="D84" s="42" t="inlineStr">
        <is>
          <t>1 - (1 - P0(t))^3</t>
        </is>
      </c>
      <c r="E84" s="43">
        <f>1-(1-E83)^3</f>
        <v/>
      </c>
      <c r="F84" s="44" t="inlineStr">
        <is>
          <t>—</t>
        </is>
      </c>
      <c r="G84" s="45" t="inlineStr">
        <is>
          <t>Тройное резервирование (k=3 цепи)</t>
        </is>
      </c>
    </row>
    <row r="85" ht="20" customHeight="1">
      <c r="B85" s="40" t="inlineStr">
        <is>
          <t>Средняя наработка системы mtc</t>
        </is>
      </c>
      <c r="C85" s="41" t="inlineStr">
        <is>
          <t>mtc</t>
        </is>
      </c>
      <c r="D85" s="42" t="inlineStr">
        <is>
          <t>(1 + 1/2 + 1/3) / λ0</t>
        </is>
      </c>
      <c r="E85" s="50">
        <f>(1+1/2+1/3)/E82</f>
        <v/>
      </c>
      <c r="F85" s="44" t="inlineStr">
        <is>
          <t>ч</t>
        </is>
      </c>
      <c r="G85" s="45" t="inlineStr">
        <is>
          <t>mtc = (11/6) / 0.001 = 1833.33 ч</t>
        </is>
      </c>
    </row>
    <row r="86" ht="20" customHeight="1">
      <c r="B86" s="40" t="inlineStr">
        <is>
          <t>Частота отказов системы fc(100)</t>
        </is>
      </c>
      <c r="C86" s="41" t="inlineStr">
        <is>
          <t>fc(100)</t>
        </is>
      </c>
      <c r="D86" s="42" t="inlineStr">
        <is>
          <t>3*λ0*P0(t)*(1-P0(t))^2</t>
        </is>
      </c>
      <c r="E86" s="51">
        <f>3*E82*E83*(1-E83)^2</f>
        <v/>
      </c>
      <c r="F86" s="44" t="inlineStr">
        <is>
          <t>1/ч</t>
        </is>
      </c>
      <c r="G86" s="45" t="inlineStr">
        <is>
          <t>fc(t) = 3λ0*e^-λ0t*(1-e^-λ0t)^2</t>
        </is>
      </c>
    </row>
    <row r="87" ht="20" customHeight="1">
      <c r="B87" s="40" t="inlineStr">
        <is>
          <t>Интенсивность отказов системы λc(100)</t>
        </is>
      </c>
      <c r="C87" s="41" t="inlineStr">
        <is>
          <t>λc(100)</t>
        </is>
      </c>
      <c r="D87" s="42" t="inlineStr">
        <is>
          <t>fc(100) / Pc(100)</t>
        </is>
      </c>
      <c r="E87" s="51">
        <f>E86/E84</f>
        <v/>
      </c>
      <c r="F87" s="44" t="inlineStr">
        <is>
          <t>1/ч</t>
        </is>
      </c>
      <c r="G87" s="45" t="inlineStr">
        <is>
          <t>λc(100) = fc(100) / Pc(100)</t>
        </is>
      </c>
    </row>
    <row r="88" ht="24" customHeight="1">
      <c r="B88" s="47" t="inlineStr">
        <is>
          <t>Вывод: При t=100 ч: Pc=0.99914 (99.91%), mtc=1833.33 ч, fc=2.46*10^-5 1/ч, λc=2.46*10^-5 1/ч. Тройной резерв обеспечивает высочайшую надежность.</t>
        </is>
      </c>
      <c r="C88" s="48" t="n"/>
      <c r="D88" s="48" t="n"/>
      <c r="E88" s="48" t="n"/>
      <c r="F88" s="48" t="n"/>
      <c r="G88" s="48" t="n"/>
    </row>
    <row r="91" ht="22" customHeight="1">
      <c r="B91" s="29" t="inlineStr">
        <is>
          <t>ЗАДАЧА № 10. ДУБЛИРОВАНИЕ ТЕЛЕВИЗИОННОГО КАНАЛА СВЯЗИ (РИС. 4.6)</t>
        </is>
      </c>
      <c r="C91" s="30" t="n"/>
      <c r="D91" s="30" t="n"/>
      <c r="E91" s="30" t="n"/>
      <c r="F91" s="30" t="n"/>
      <c r="G91" s="30" t="n"/>
    </row>
    <row r="92" ht="36" customHeight="1">
      <c r="B92" s="31" t="inlineStr">
        <is>
          <t>Условие: В телевизионном канале связи (рис. 4.6), состоящем из передатчика и приемника, применено общее дублирование. λп=2*10^-3 1/ч, λпр=1*10^-3 1/ч. Определить Pc(t), mtc, fc(t), λc(t).</t>
        </is>
      </c>
      <c r="C92" s="32" t="n"/>
      <c r="D92" s="32" t="n"/>
      <c r="E92" s="32" t="n"/>
      <c r="F92" s="32" t="n"/>
      <c r="G92" s="32" t="n"/>
    </row>
    <row r="93" ht="20" customHeight="1">
      <c r="B93" s="33" t="inlineStr">
        <is>
          <t>Параметр / Величина</t>
        </is>
      </c>
      <c r="C93" s="33" t="inlineStr">
        <is>
          <t>Обозначение</t>
        </is>
      </c>
      <c r="D93" s="33" t="inlineStr">
        <is>
          <t>Формула / Источник</t>
        </is>
      </c>
      <c r="E93" s="33" t="inlineStr">
        <is>
          <t>Значение</t>
        </is>
      </c>
      <c r="F93" s="33" t="inlineStr">
        <is>
          <t>Ед. изм.</t>
        </is>
      </c>
      <c r="G93" s="33" t="inlineStr">
        <is>
          <t>Примечание</t>
        </is>
      </c>
    </row>
    <row r="94" ht="19" customHeight="1">
      <c r="B94" s="14" t="inlineStr">
        <is>
          <t>Интенсивность передатчика</t>
        </is>
      </c>
      <c r="C94" s="15" t="inlineStr">
        <is>
          <t>λп</t>
        </is>
      </c>
      <c r="D94" s="15" t="inlineStr">
        <is>
          <t>Дано</t>
        </is>
      </c>
      <c r="E94" s="34" t="n">
        <v>0.002</v>
      </c>
      <c r="F94" s="17" t="inlineStr">
        <is>
          <t>1/ч</t>
        </is>
      </c>
      <c r="G94" s="35" t="inlineStr">
        <is>
          <t>λп = 2.0*10^-3 1/ч</t>
        </is>
      </c>
    </row>
    <row r="95" ht="19" customHeight="1">
      <c r="B95" s="14" t="inlineStr">
        <is>
          <t>Интенсивность приемника</t>
        </is>
      </c>
      <c r="C95" s="15" t="inlineStr">
        <is>
          <t>λпр</t>
        </is>
      </c>
      <c r="D95" s="15" t="inlineStr">
        <is>
          <t>Дано</t>
        </is>
      </c>
      <c r="E95" s="34" t="n">
        <v>0.001</v>
      </c>
      <c r="F95" s="17" t="inlineStr">
        <is>
          <t>1/ч</t>
        </is>
      </c>
      <c r="G95" s="35" t="inlineStr">
        <is>
          <t>λпр = 1.0*10^-3 1/ч</t>
        </is>
      </c>
    </row>
    <row r="96" ht="19" customHeight="1">
      <c r="B96" s="14" t="inlineStr">
        <is>
          <t>Время оценки</t>
        </is>
      </c>
      <c r="C96" s="15" t="inlineStr">
        <is>
          <t>t</t>
        </is>
      </c>
      <c r="D96" s="15" t="inlineStr">
        <is>
          <t>Принято</t>
        </is>
      </c>
      <c r="E96" s="36" t="n">
        <v>50</v>
      </c>
      <c r="F96" s="17" t="inlineStr">
        <is>
          <t>ч</t>
        </is>
      </c>
      <c r="G96" s="35" t="inlineStr">
        <is>
          <t>Контрольная наработка t = 50 ч</t>
        </is>
      </c>
    </row>
    <row r="97" ht="20" customHeight="1">
      <c r="B97" s="10" t="inlineStr">
        <is>
          <t>Суммарная интенсивность цепи канала</t>
        </is>
      </c>
      <c r="C97" s="20" t="inlineStr">
        <is>
          <t>λ0</t>
        </is>
      </c>
      <c r="D97" s="37" t="inlineStr">
        <is>
          <t>λп + λпр</t>
        </is>
      </c>
      <c r="E97" s="38">
        <f>E94+E95</f>
        <v/>
      </c>
      <c r="F97" s="22" t="inlineStr">
        <is>
          <t>1/ч</t>
        </is>
      </c>
      <c r="G97" s="39" t="inlineStr">
        <is>
          <t>λ0 = 0.003 1/ч</t>
        </is>
      </c>
    </row>
    <row r="98" ht="20" customHeight="1">
      <c r="B98" s="40" t="inlineStr">
        <is>
          <t>Средняя наработка канала mtc</t>
        </is>
      </c>
      <c r="C98" s="41" t="inlineStr">
        <is>
          <t>mtc</t>
        </is>
      </c>
      <c r="D98" s="42" t="inlineStr">
        <is>
          <t>1.5 / λ0</t>
        </is>
      </c>
      <c r="E98" s="50">
        <f>1.5/E97</f>
        <v/>
      </c>
      <c r="F98" s="44" t="inlineStr">
        <is>
          <t>ч</t>
        </is>
      </c>
      <c r="G98" s="45" t="inlineStr">
        <is>
          <t>mtc = 1.5 / 0.003 = 500 ч</t>
        </is>
      </c>
    </row>
    <row r="99" ht="20" customHeight="1">
      <c r="B99" s="40" t="inlineStr">
        <is>
          <t>Вероятность безотказной работы Pc(t)</t>
        </is>
      </c>
      <c r="C99" s="41" t="inlineStr">
        <is>
          <t>Pc(t)</t>
        </is>
      </c>
      <c r="D99" s="42" t="inlineStr">
        <is>
          <t>1 - (1 - EXP(-λ0*t))^2</t>
        </is>
      </c>
      <c r="E99" s="43">
        <f>1-(1-EXP(-E97*E96))^2</f>
        <v/>
      </c>
      <c r="F99" s="44" t="inlineStr">
        <is>
          <t>—</t>
        </is>
      </c>
      <c r="G99" s="45" t="inlineStr">
        <is>
          <t>Pc(t) = 2e^-0.003t - e^-0.006t</t>
        </is>
      </c>
    </row>
    <row r="100" ht="20" customHeight="1">
      <c r="B100" s="40" t="inlineStr">
        <is>
          <t>Частота отказов канала fc(t)</t>
        </is>
      </c>
      <c r="C100" s="41" t="inlineStr">
        <is>
          <t>fc(t)</t>
        </is>
      </c>
      <c r="D100" s="42" t="inlineStr">
        <is>
          <t>2*λ0*EXP(-λ0*t)*(1-EXP(-λ0*t))</t>
        </is>
      </c>
      <c r="E100" s="51">
        <f>2*E97*EXP(-E97*E96)*(1-EXP(-E97*E96))</f>
        <v/>
      </c>
      <c r="F100" s="44" t="inlineStr">
        <is>
          <t>1/ч</t>
        </is>
      </c>
      <c r="G100" s="45" t="inlineStr">
        <is>
          <t>fc(t) = 0.006e^-0.003t(1-e^-0.003t)</t>
        </is>
      </c>
    </row>
    <row r="101" ht="20" customHeight="1">
      <c r="B101" s="40" t="inlineStr">
        <is>
          <t>Интенсивность отказов канала λc(t)</t>
        </is>
      </c>
      <c r="C101" s="41" t="inlineStr">
        <is>
          <t>λc(t)</t>
        </is>
      </c>
      <c r="D101" s="42" t="inlineStr">
        <is>
          <t>fc(t) / Pc(t)</t>
        </is>
      </c>
      <c r="E101" s="51">
        <f>E100/E99</f>
        <v/>
      </c>
      <c r="F101" s="44" t="inlineStr">
        <is>
          <t>1/ч</t>
        </is>
      </c>
      <c r="G101" s="45" t="inlineStr">
        <is>
          <t>λc(t) = 0.006(1-e^-0.003t)/(2-e^-0.003t)</t>
        </is>
      </c>
    </row>
    <row r="102" ht="24" customHeight="1">
      <c r="B102" s="47" t="inlineStr">
        <is>
          <t>Вывод: mtc = 500 ч; аналитические зависимости: Pc(t) = 2e^-0.003t - e^-0.006t; fc(t) = 0.006e^-0.003t(1-e^-0.003t). При t=50 ч Pc=0.9806.</t>
        </is>
      </c>
      <c r="C102" s="48" t="n"/>
      <c r="D102" s="48" t="n"/>
      <c r="E102" s="48" t="n"/>
      <c r="F102" s="48" t="n"/>
      <c r="G102" s="48" t="n"/>
    </row>
    <row r="105" ht="22" customHeight="1">
      <c r="B105" s="29" t="inlineStr">
        <is>
          <t>ЗАДАЧА № 11. ИНТЕНСИВНОСТЬ ОТКАЗОВ ДУБЛИРОВАННОЙ ЦЕПИ ДВУХ ЭЛЕМЕНТОВ (РИС. 4.7)</t>
        </is>
      </c>
      <c r="C105" s="30" t="n"/>
      <c r="D105" s="30" t="n"/>
      <c r="E105" s="30" t="n"/>
      <c r="F105" s="30" t="n"/>
      <c r="G105" s="30" t="n"/>
    </row>
    <row r="106" ht="36" customHeight="1">
      <c r="B106" s="31" t="inlineStr">
        <is>
          <t>Условие: Схема надежности на рис. 4.7: дублирование ветви из двух последовательных элементов с интенсивностями λ1, λ2. Определить интенсивность отказов изделия λc(t).</t>
        </is>
      </c>
      <c r="C106" s="32" t="n"/>
      <c r="D106" s="32" t="n"/>
      <c r="E106" s="32" t="n"/>
      <c r="F106" s="32" t="n"/>
      <c r="G106" s="32" t="n"/>
    </row>
    <row r="107" ht="20" customHeight="1">
      <c r="B107" s="33" t="inlineStr">
        <is>
          <t>Параметр / Величина</t>
        </is>
      </c>
      <c r="C107" s="33" t="inlineStr">
        <is>
          <t>Обозначение</t>
        </is>
      </c>
      <c r="D107" s="33" t="inlineStr">
        <is>
          <t>Формула / Источник</t>
        </is>
      </c>
      <c r="E107" s="33" t="inlineStr">
        <is>
          <t>Значение</t>
        </is>
      </c>
      <c r="F107" s="33" t="inlineStr">
        <is>
          <t>Ед. изм.</t>
        </is>
      </c>
      <c r="G107" s="33" t="inlineStr">
        <is>
          <t>Примечание</t>
        </is>
      </c>
    </row>
    <row r="108" ht="19" customHeight="1">
      <c r="B108" s="14" t="inlineStr">
        <is>
          <t>Интенсивность элемента 1 (пример)</t>
        </is>
      </c>
      <c r="C108" s="15" t="inlineStr">
        <is>
          <t>λ1</t>
        </is>
      </c>
      <c r="D108" s="15" t="inlineStr">
        <is>
          <t>Принято</t>
        </is>
      </c>
      <c r="E108" s="34" t="n">
        <v>0.001</v>
      </c>
      <c r="F108" s="17" t="inlineStr">
        <is>
          <t>1/ч</t>
        </is>
      </c>
      <c r="G108" s="35" t="inlineStr">
        <is>
          <t>λ1 = 1.0*10^-3 1/ч</t>
        </is>
      </c>
    </row>
    <row r="109" ht="19" customHeight="1">
      <c r="B109" s="14" t="inlineStr">
        <is>
          <t>Интенсивность элемента 2 (пример)</t>
        </is>
      </c>
      <c r="C109" s="15" t="inlineStr">
        <is>
          <t>λ2</t>
        </is>
      </c>
      <c r="D109" s="15" t="inlineStr">
        <is>
          <t>Принято</t>
        </is>
      </c>
      <c r="E109" s="34" t="n">
        <v>0.002</v>
      </c>
      <c r="F109" s="17" t="inlineStr">
        <is>
          <t>1/ч</t>
        </is>
      </c>
      <c r="G109" s="35" t="inlineStr">
        <is>
          <t>λ2 = 2.0*10^-3 1/ч</t>
        </is>
      </c>
    </row>
    <row r="110" ht="19" customHeight="1">
      <c r="B110" s="14" t="inlineStr">
        <is>
          <t>Время оценки</t>
        </is>
      </c>
      <c r="C110" s="15" t="inlineStr">
        <is>
          <t>t</t>
        </is>
      </c>
      <c r="D110" s="15" t="inlineStr">
        <is>
          <t>Принято</t>
        </is>
      </c>
      <c r="E110" s="36" t="n">
        <v>50</v>
      </c>
      <c r="F110" s="17" t="inlineStr">
        <is>
          <t>ч</t>
        </is>
      </c>
      <c r="G110" s="35" t="inlineStr">
        <is>
          <t>Контрольная наработка t = 50 ч</t>
        </is>
      </c>
    </row>
    <row r="111" ht="20" customHeight="1">
      <c r="B111" s="10" t="inlineStr">
        <is>
          <t>Интенсивность цепи ветви</t>
        </is>
      </c>
      <c r="C111" s="20" t="inlineStr">
        <is>
          <t>λ0</t>
        </is>
      </c>
      <c r="D111" s="37" t="inlineStr">
        <is>
          <t>λ1 + λ2</t>
        </is>
      </c>
      <c r="E111" s="38">
        <f>E108+E109</f>
        <v/>
      </c>
      <c r="F111" s="22" t="inlineStr">
        <is>
          <t>1/ч</t>
        </is>
      </c>
      <c r="G111" s="39" t="inlineStr">
        <is>
          <t>λ0 = λ1 + λ2 = 0.003 1/ч</t>
        </is>
      </c>
    </row>
    <row r="112" ht="20" customHeight="1">
      <c r="B112" s="40" t="inlineStr">
        <is>
          <t>Интенсивность отказов изделия λc(t)</t>
        </is>
      </c>
      <c r="C112" s="41" t="inlineStr">
        <is>
          <t>λc(t)</t>
        </is>
      </c>
      <c r="D112" s="42" t="inlineStr">
        <is>
          <t>(2*(λ1+λ2)*(1-EXP(-(λ1+λ2)*t)))/(2-EXP(-(λ1+λ2)*t))</t>
        </is>
      </c>
      <c r="E112" s="51">
        <f>(2*E111*(1-EXP(-E111*E110)))/(2-EXP(-E111*E110))</f>
        <v/>
      </c>
      <c r="F112" s="44" t="inlineStr">
        <is>
          <t>1/ч</t>
        </is>
      </c>
      <c r="G112" s="45" t="inlineStr">
        <is>
          <t>λc(t) = 2(λ1+λ2)(1-e^-(λ1+λ2)t)/(2-e^-(λ1+λ2)t)</t>
        </is>
      </c>
    </row>
    <row r="113" ht="20" customHeight="1">
      <c r="B113" s="10" t="inlineStr">
        <is>
          <t>Вероятность безотказной работы Pc(t)</t>
        </is>
      </c>
      <c r="C113" s="20" t="inlineStr">
        <is>
          <t>Pc(t)</t>
        </is>
      </c>
      <c r="D113" s="37" t="inlineStr">
        <is>
          <t>1 - (1 - EXP(-λ0*t))^2</t>
        </is>
      </c>
      <c r="E113" s="46">
        <f>1-(1-EXP(-E111*E110))^2</f>
        <v/>
      </c>
      <c r="F113" s="22" t="inlineStr">
        <is>
          <t>—</t>
        </is>
      </c>
      <c r="G113" s="39" t="inlineStr">
        <is>
          <t>Pc(t) = 2e^-λ0t - e^-2λ0t</t>
        </is>
      </c>
    </row>
    <row r="114" ht="24" customHeight="1">
      <c r="B114" s="47" t="inlineStr">
        <is>
          <t>Вывод: Аналитическое выражение: λc(t) = 2(λ1 + λ2)(1 - e^-(λ1+λ2)t) / (2 - e^-(λ1+λ2)t). При t=0 интенсивность равна 0, при t-&gt;∞ стремится к (λ1+λ2).</t>
        </is>
      </c>
      <c r="C114" s="48" t="n"/>
      <c r="D114" s="48" t="n"/>
      <c r="E114" s="48" t="n"/>
      <c r="F114" s="48" t="n"/>
      <c r="G114" s="48" t="n"/>
    </row>
    <row r="117" ht="22" customHeight="1">
      <c r="B117" s="29" t="inlineStr">
        <is>
          <t>ЗАДАЧА № 12. РАСЧЕТ ДОПУСТИМОЙ ИНТЕНСИВНОСТИ ОТКАЗОВ ЭЛЕМЕНТА (n = 4000)</t>
        </is>
      </c>
      <c r="C117" s="30" t="n"/>
      <c r="D117" s="30" t="n"/>
      <c r="E117" s="30" t="n"/>
      <c r="F117" s="30" t="n"/>
      <c r="G117" s="30" t="n"/>
    </row>
    <row r="118" ht="36" customHeight="1">
      <c r="B118" s="31" t="inlineStr">
        <is>
          <t>Условие: Система управления из n=4000 элементов. Требуемая надежность Pc(100)=0.9 при t=100 ч. Рассчитать допустимую среднюю интенсивность отказов одного элемента λдоп для случаев: а) резервирование отсутствует; б) применено общее дублирование.</t>
        </is>
      </c>
      <c r="C118" s="32" t="n"/>
      <c r="D118" s="32" t="n"/>
      <c r="E118" s="32" t="n"/>
      <c r="F118" s="32" t="n"/>
      <c r="G118" s="32" t="n"/>
    </row>
    <row r="119" ht="20" customHeight="1">
      <c r="B119" s="33" t="inlineStr">
        <is>
          <t>Параметр / Величина</t>
        </is>
      </c>
      <c r="C119" s="33" t="inlineStr">
        <is>
          <t>Обозначение</t>
        </is>
      </c>
      <c r="D119" s="33" t="inlineStr">
        <is>
          <t>Формула / Источник</t>
        </is>
      </c>
      <c r="E119" s="33" t="inlineStr">
        <is>
          <t>Значение</t>
        </is>
      </c>
      <c r="F119" s="33" t="inlineStr">
        <is>
          <t>Ед. изм.</t>
        </is>
      </c>
      <c r="G119" s="33" t="inlineStr">
        <is>
          <t>Примечание</t>
        </is>
      </c>
    </row>
    <row r="120" ht="19" customHeight="1">
      <c r="B120" s="14" t="inlineStr">
        <is>
          <t>Число элементов системы</t>
        </is>
      </c>
      <c r="C120" s="15" t="inlineStr">
        <is>
          <t>n</t>
        </is>
      </c>
      <c r="D120" s="15" t="inlineStr">
        <is>
          <t>Дано</t>
        </is>
      </c>
      <c r="E120" s="49" t="n">
        <v>4000</v>
      </c>
      <c r="F120" s="17" t="inlineStr">
        <is>
          <t>шт.</t>
        </is>
      </c>
      <c r="G120" s="35" t="inlineStr">
        <is>
          <t>Равнонадежные элементы системы</t>
        </is>
      </c>
    </row>
    <row r="121" ht="19" customHeight="1">
      <c r="B121" s="14" t="inlineStr">
        <is>
          <t>Требуемая вероятность системы</t>
        </is>
      </c>
      <c r="C121" s="15" t="inlineStr">
        <is>
          <t>Pc</t>
        </is>
      </c>
      <c r="D121" s="15" t="inlineStr">
        <is>
          <t>Дано</t>
        </is>
      </c>
      <c r="E121" s="52" t="n">
        <v>0.9</v>
      </c>
      <c r="F121" s="17" t="inlineStr">
        <is>
          <t>—</t>
        </is>
      </c>
      <c r="G121" s="35" t="inlineStr">
        <is>
          <t>Pc(100) = 0.90 (90%)</t>
        </is>
      </c>
    </row>
    <row r="122" ht="19" customHeight="1">
      <c r="B122" s="14" t="inlineStr">
        <is>
          <t>Время работы системы</t>
        </is>
      </c>
      <c r="C122" s="15" t="inlineStr">
        <is>
          <t>t</t>
        </is>
      </c>
      <c r="D122" s="15" t="inlineStr">
        <is>
          <t>Дано</t>
        </is>
      </c>
      <c r="E122" s="36" t="n">
        <v>100</v>
      </c>
      <c r="F122" s="17" t="inlineStr">
        <is>
          <t>ч</t>
        </is>
      </c>
      <c r="G122" s="35" t="inlineStr">
        <is>
          <t>Контрольная наработка t = 100 ч</t>
        </is>
      </c>
    </row>
    <row r="123" ht="20" customHeight="1">
      <c r="B123" s="10" t="inlineStr">
        <is>
          <t>а) Требуемая вероятность цепи без резерва</t>
        </is>
      </c>
      <c r="C123" s="20" t="inlineStr">
        <is>
          <t>Pцепь_а</t>
        </is>
      </c>
      <c r="D123" s="37" t="inlineStr">
        <is>
          <t>Pc</t>
        </is>
      </c>
      <c r="E123" s="46">
        <f>E121</f>
        <v/>
      </c>
      <c r="F123" s="22" t="inlineStr">
        <is>
          <t>—</t>
        </is>
      </c>
      <c r="G123" s="39" t="inlineStr">
        <is>
          <t>Для нерезервированной цепи</t>
        </is>
      </c>
    </row>
    <row r="124" ht="20" customHeight="1">
      <c r="B124" s="40" t="inlineStr">
        <is>
          <t>а) Допустимая интенсивность элемента λдоп_а</t>
        </is>
      </c>
      <c r="C124" s="41" t="inlineStr">
        <is>
          <t>λдоп_а</t>
        </is>
      </c>
      <c r="D124" s="42" t="inlineStr">
        <is>
          <t>-LN(Pцепь_а) / (n * t)</t>
        </is>
      </c>
      <c r="E124" s="51">
        <f>-LN(E123)/(E120*E122)</f>
        <v/>
      </c>
      <c r="F124" s="44" t="inlineStr">
        <is>
          <t>1/ч</t>
        </is>
      </c>
      <c r="G124" s="45" t="inlineStr">
        <is>
          <t>λдоп = -ln(0.9) / (4000*100)</t>
        </is>
      </c>
    </row>
    <row r="125" ht="20" customHeight="1">
      <c r="B125" s="10" t="inlineStr">
        <is>
          <t>б) Требуемая вероятность цепи с дублированием</t>
        </is>
      </c>
      <c r="C125" s="20" t="inlineStr">
        <is>
          <t>Pцепь_б</t>
        </is>
      </c>
      <c r="D125" s="37" t="inlineStr">
        <is>
          <t>1 - SQRT(1 - Pc)</t>
        </is>
      </c>
      <c r="E125" s="46">
        <f>1-SQRT(1-E121)</f>
        <v/>
      </c>
      <c r="F125" s="22" t="inlineStr">
        <is>
          <t>—</t>
        </is>
      </c>
      <c r="G125" s="39" t="inlineStr">
        <is>
          <t>Pцепь = 1 - sqrt(1 - 0.9) ≈ 0.68377</t>
        </is>
      </c>
    </row>
    <row r="126" ht="20" customHeight="1">
      <c r="B126" s="40" t="inlineStr">
        <is>
          <t>б) Допустимая интенсивность элемента λдоп_б</t>
        </is>
      </c>
      <c r="C126" s="41" t="inlineStr">
        <is>
          <t>λдоп_б</t>
        </is>
      </c>
      <c r="D126" s="42" t="inlineStr">
        <is>
          <t>-LN(Pцепь_б) / (n * t)</t>
        </is>
      </c>
      <c r="E126" s="51">
        <f>-LN(E125)/(E120*E122)</f>
        <v/>
      </c>
      <c r="F126" s="44" t="inlineStr">
        <is>
          <t>1/ч</t>
        </is>
      </c>
      <c r="G126" s="45" t="inlineStr">
        <is>
          <t>λдоп = -ln(0.68377) / (4000*100)</t>
        </is>
      </c>
    </row>
    <row r="127" ht="20" customHeight="1">
      <c r="B127" s="10" t="inlineStr">
        <is>
          <t>Коэффициент смягчения требований (выигрыш)</t>
        </is>
      </c>
      <c r="C127" s="20" t="inlineStr">
        <is>
          <t>К_выигр</t>
        </is>
      </c>
      <c r="D127" s="37" t="inlineStr">
        <is>
          <t>λдоп_б / λдоп_а</t>
        </is>
      </c>
      <c r="E127" s="53">
        <f>E126/E124</f>
        <v/>
      </c>
      <c r="F127" s="22" t="inlineStr">
        <is>
          <t>раз</t>
        </is>
      </c>
      <c r="G127" s="39" t="inlineStr">
        <is>
          <t>Смягчение требований к надежности элементов</t>
        </is>
      </c>
    </row>
    <row r="128" ht="24" customHeight="1">
      <c r="B128" s="47" t="inlineStr">
        <is>
          <t>Вывод: Без резерва λдоп = 2.63*10^-7 1/ч; при общем дублировании λдоп = 9.50*10^-7 1/ч. Общее дублирование смягчает требования к надежности элементов в 3.61 раза!</t>
        </is>
      </c>
      <c r="C128" s="48" t="n"/>
      <c r="D128" s="48" t="n"/>
      <c r="E128" s="48" t="n"/>
      <c r="F128" s="48" t="n"/>
      <c r="G128" s="48" t="n"/>
    </row>
    <row r="131" ht="22" customHeight="1">
      <c r="B131" s="29" t="inlineStr">
        <is>
          <t>ЗАДАЧА № 13. ТРЕБУЕМАЯ НАДЕЖНОСТЬ БЛОКА ПРИ РАЗЛИЧНЫХ СПОСОБАХ РЕЗЕРВИРОВАНИЯ</t>
        </is>
      </c>
      <c r="C131" s="30" t="n"/>
      <c r="D131" s="30" t="n"/>
      <c r="E131" s="30" t="n"/>
      <c r="F131" s="30" t="n"/>
      <c r="G131" s="30" t="n"/>
    </row>
    <row r="132" ht="36" customHeight="1">
      <c r="B132" s="31" t="inlineStr">
        <is>
          <t>Условие: Устройство обработки состоит из n=3 одинаковых блоков. Вероятность безотказной работы Py(t) &gt;= 0.9. Определить требуемую вероятность безотказной работы блока Pбл для случаев: а) резерв отсутствует; б) пассивное общее резервирование всего устройства; в) пассивное раздельное резервирование по блокам.</t>
        </is>
      </c>
      <c r="C132" s="32" t="n"/>
      <c r="D132" s="32" t="n"/>
      <c r="E132" s="32" t="n"/>
      <c r="F132" s="32" t="n"/>
      <c r="G132" s="32" t="n"/>
    </row>
    <row r="133" ht="20" customHeight="1">
      <c r="B133" s="33" t="inlineStr">
        <is>
          <t>Параметр / Величина</t>
        </is>
      </c>
      <c r="C133" s="33" t="inlineStr">
        <is>
          <t>Обозначение</t>
        </is>
      </c>
      <c r="D133" s="33" t="inlineStr">
        <is>
          <t>Формула / Источник</t>
        </is>
      </c>
      <c r="E133" s="33" t="inlineStr">
        <is>
          <t>Значение</t>
        </is>
      </c>
      <c r="F133" s="33" t="inlineStr">
        <is>
          <t>Ед. изм.</t>
        </is>
      </c>
      <c r="G133" s="33" t="inlineStr">
        <is>
          <t>Примечание</t>
        </is>
      </c>
    </row>
    <row r="134" ht="19" customHeight="1">
      <c r="B134" s="14" t="inlineStr">
        <is>
          <t>Число блоков в устройстве</t>
        </is>
      </c>
      <c r="C134" s="15" t="inlineStr">
        <is>
          <t>n</t>
        </is>
      </c>
      <c r="D134" s="15" t="inlineStr">
        <is>
          <t>Дано</t>
        </is>
      </c>
      <c r="E134" s="49" t="n">
        <v>3</v>
      </c>
      <c r="F134" s="17" t="inlineStr">
        <is>
          <t>шт.</t>
        </is>
      </c>
      <c r="G134" s="35" t="inlineStr">
        <is>
          <t>n = 3 одинаковых блока</t>
        </is>
      </c>
    </row>
    <row r="135" ht="19" customHeight="1">
      <c r="B135" s="14" t="inlineStr">
        <is>
          <t>Требуемая вероятность устройства</t>
        </is>
      </c>
      <c r="C135" s="15" t="inlineStr">
        <is>
          <t>Py</t>
        </is>
      </c>
      <c r="D135" s="15" t="inlineStr">
        <is>
          <t>Дано</t>
        </is>
      </c>
      <c r="E135" s="52" t="n">
        <v>0.9</v>
      </c>
      <c r="F135" s="17" t="inlineStr">
        <is>
          <t>—</t>
        </is>
      </c>
      <c r="G135" s="35" t="inlineStr">
        <is>
          <t>Py(t) &gt;= 0.90 (90%)</t>
        </is>
      </c>
    </row>
    <row r="136" ht="20" customHeight="1">
      <c r="B136" s="40" t="inlineStr">
        <is>
          <t>а) P блока без резерва</t>
        </is>
      </c>
      <c r="C136" s="41" t="inlineStr">
        <is>
          <t>Pбл_а</t>
        </is>
      </c>
      <c r="D136" s="42" t="inlineStr">
        <is>
          <t>Py^(1/n)</t>
        </is>
      </c>
      <c r="E136" s="43">
        <f>E135^(1/E134)</f>
        <v/>
      </c>
      <c r="F136" s="44" t="inlineStr">
        <is>
          <t>—</t>
        </is>
      </c>
      <c r="G136" s="45" t="inlineStr">
        <is>
          <t>Pбл = 0.9^(1/3) ≈ 0.96549</t>
        </is>
      </c>
    </row>
    <row r="137" ht="20" customHeight="1">
      <c r="B137" s="10" t="inlineStr">
        <is>
          <t>б) Требуемая надежность устройства с дублированием</t>
        </is>
      </c>
      <c r="C137" s="20" t="inlineStr">
        <is>
          <t>Pустр_б</t>
        </is>
      </c>
      <c r="D137" s="37" t="inlineStr">
        <is>
          <t>1 - SQRT(1 - Py)</t>
        </is>
      </c>
      <c r="E137" s="46">
        <f>1-SQRT(1-E135)</f>
        <v/>
      </c>
      <c r="F137" s="22" t="inlineStr">
        <is>
          <t>—</t>
        </is>
      </c>
      <c r="G137" s="39" t="inlineStr">
        <is>
          <t>Pустр = 1 - sqrt(0.1) ≈ 0.68377</t>
        </is>
      </c>
    </row>
    <row r="138" ht="20" customHeight="1">
      <c r="B138" s="40" t="inlineStr">
        <is>
          <t>б) P блока при общем дублировании</t>
        </is>
      </c>
      <c r="C138" s="41" t="inlineStr">
        <is>
          <t>Pбл_б</t>
        </is>
      </c>
      <c r="D138" s="42" t="inlineStr">
        <is>
          <t>Pустр_б^(1/n)</t>
        </is>
      </c>
      <c r="E138" s="43">
        <f>E137^(1/E134)</f>
        <v/>
      </c>
      <c r="F138" s="44" t="inlineStr">
        <is>
          <t>—</t>
        </is>
      </c>
      <c r="G138" s="45" t="inlineStr">
        <is>
          <t>Pбл = (0.68377)^(1/3) ≈ 0.88099</t>
        </is>
      </c>
    </row>
    <row r="139" ht="20" customHeight="1">
      <c r="B139" s="10" t="inlineStr">
        <is>
          <t>в) P дублированного блока при раздельном резерве</t>
        </is>
      </c>
      <c r="C139" s="20" t="inlineStr">
        <is>
          <t>Pдубл_в</t>
        </is>
      </c>
      <c r="D139" s="37" t="inlineStr">
        <is>
          <t>Py^(1/n)</t>
        </is>
      </c>
      <c r="E139" s="46">
        <f>E135^(1/E134)</f>
        <v/>
      </c>
      <c r="F139" s="22" t="inlineStr">
        <is>
          <t>—</t>
        </is>
      </c>
      <c r="G139" s="39" t="inlineStr">
        <is>
          <t>Каждый дублированный узел: 0.9^(1/3)</t>
        </is>
      </c>
    </row>
    <row r="140" ht="20" customHeight="1">
      <c r="B140" s="40" t="inlineStr">
        <is>
          <t>в) P блока при раздельном резервировании</t>
        </is>
      </c>
      <c r="C140" s="41" t="inlineStr">
        <is>
          <t>Pбл_в</t>
        </is>
      </c>
      <c r="D140" s="42" t="inlineStr">
        <is>
          <t>1 - SQRT(1 - Pдубл_в)</t>
        </is>
      </c>
      <c r="E140" s="43">
        <f>1-SQRT(1-E139)</f>
        <v/>
      </c>
      <c r="F140" s="44" t="inlineStr">
        <is>
          <t>—</t>
        </is>
      </c>
      <c r="G140" s="45" t="inlineStr">
        <is>
          <t>Pбл = 1 - sqrt(1 - 0.9^(1/3)) ≈ 0.81423</t>
        </is>
      </c>
    </row>
    <row r="141" ht="24" customHeight="1">
      <c r="B141" s="47" t="inlineStr">
        <is>
          <t>Вывод: Требуемая надежность блока: а) без резерва 96.55%; б) при общем дублировании 88.10%; в) при раздельном резервировании 81.42%. Раздельное резервирование наиболее эффективно!</t>
        </is>
      </c>
      <c r="C141" s="48" t="n"/>
      <c r="D141" s="48" t="n"/>
      <c r="E141" s="48" t="n"/>
      <c r="F141" s="48" t="n"/>
      <c r="G141" s="48" t="n"/>
    </row>
    <row r="144" ht="22" customHeight="1">
      <c r="B144" s="29" t="inlineStr">
        <is>
          <t>ЗАДАЧА № 14. ПАССИВНОЕ ОБЩЕЕ РЕЗЕРВИРОВАНИЕ ДВУХБЛОЧНОГО ВЫЧИСЛИТЕЛЯ</t>
        </is>
      </c>
      <c r="C144" s="30" t="n"/>
      <c r="D144" s="30" t="n"/>
      <c r="E144" s="30" t="n"/>
      <c r="F144" s="30" t="n"/>
      <c r="G144" s="30" t="n"/>
    </row>
    <row r="145" ht="36" customHeight="1">
      <c r="B145" s="31" t="inlineStr">
        <is>
          <t>Условие: Вычислитель состоит из двух блоков: λ1=120.54*10^-6 1/ч, λ2=185.66*10^-6 1/ч. Выполнено пассивное общее дублирование системы. Определить Pc(t), mtc, fc(t), λc(t), а также Pc(20) при t = 20 ч.</t>
        </is>
      </c>
      <c r="C145" s="32" t="n"/>
      <c r="D145" s="32" t="n"/>
      <c r="E145" s="32" t="n"/>
      <c r="F145" s="32" t="n"/>
      <c r="G145" s="32" t="n"/>
    </row>
    <row r="146" ht="20" customHeight="1">
      <c r="B146" s="33" t="inlineStr">
        <is>
          <t>Параметр / Величина</t>
        </is>
      </c>
      <c r="C146" s="33" t="inlineStr">
        <is>
          <t>Обозначение</t>
        </is>
      </c>
      <c r="D146" s="33" t="inlineStr">
        <is>
          <t>Формула / Источник</t>
        </is>
      </c>
      <c r="E146" s="33" t="inlineStr">
        <is>
          <t>Значение</t>
        </is>
      </c>
      <c r="F146" s="33" t="inlineStr">
        <is>
          <t>Ед. изм.</t>
        </is>
      </c>
      <c r="G146" s="33" t="inlineStr">
        <is>
          <t>Примечание</t>
        </is>
      </c>
    </row>
    <row r="147" ht="19" customHeight="1">
      <c r="B147" s="14" t="inlineStr">
        <is>
          <t>Интенсивность блока 1</t>
        </is>
      </c>
      <c r="C147" s="15" t="inlineStr">
        <is>
          <t>λ1</t>
        </is>
      </c>
      <c r="D147" s="15" t="inlineStr">
        <is>
          <t>Дано</t>
        </is>
      </c>
      <c r="E147" s="34" t="n">
        <v>0.00012054</v>
      </c>
      <c r="F147" s="17" t="inlineStr">
        <is>
          <t>1/ч</t>
        </is>
      </c>
      <c r="G147" s="35" t="inlineStr">
        <is>
          <t>λ1 = 120.54*10^-6 1/ч</t>
        </is>
      </c>
    </row>
    <row r="148" ht="19" customHeight="1">
      <c r="B148" s="14" t="inlineStr">
        <is>
          <t>Интенсивность блока 2</t>
        </is>
      </c>
      <c r="C148" s="15" t="inlineStr">
        <is>
          <t>λ2</t>
        </is>
      </c>
      <c r="D148" s="15" t="inlineStr">
        <is>
          <t>Дано</t>
        </is>
      </c>
      <c r="E148" s="34" t="n">
        <v>0.00018566</v>
      </c>
      <c r="F148" s="17" t="inlineStr">
        <is>
          <t>1/ч</t>
        </is>
      </c>
      <c r="G148" s="35" t="inlineStr">
        <is>
          <t>λ2 = 185.66*10^-6 1/ч</t>
        </is>
      </c>
    </row>
    <row r="149" ht="19" customHeight="1">
      <c r="B149" s="14" t="inlineStr">
        <is>
          <t>Контрольное время наработки</t>
        </is>
      </c>
      <c r="C149" s="15" t="inlineStr">
        <is>
          <t>t</t>
        </is>
      </c>
      <c r="D149" s="15" t="inlineStr">
        <is>
          <t>Дано</t>
        </is>
      </c>
      <c r="E149" s="36" t="n">
        <v>20</v>
      </c>
      <c r="F149" s="17" t="inlineStr">
        <is>
          <t>ч</t>
        </is>
      </c>
      <c r="G149" s="35" t="inlineStr">
        <is>
          <t>Контрольная наработка t = 20 ч</t>
        </is>
      </c>
    </row>
    <row r="150" ht="20" customHeight="1">
      <c r="B150" s="10" t="inlineStr">
        <is>
          <t>Суммарная интенсивность цепи вычислителя</t>
        </is>
      </c>
      <c r="C150" s="20" t="inlineStr">
        <is>
          <t>λ0</t>
        </is>
      </c>
      <c r="D150" s="37" t="inlineStr">
        <is>
          <t>λ1 + λ2</t>
        </is>
      </c>
      <c r="E150" s="38">
        <f>E147+E148</f>
        <v/>
      </c>
      <c r="F150" s="22" t="inlineStr">
        <is>
          <t>1/ч</t>
        </is>
      </c>
      <c r="G150" s="39" t="inlineStr">
        <is>
          <t>λ0 = 306.2*10^-6 1/ч (0.0003062)</t>
        </is>
      </c>
    </row>
    <row r="151" ht="20" customHeight="1">
      <c r="B151" s="40" t="inlineStr">
        <is>
          <t>Средняя наработка вычислителя mtc</t>
        </is>
      </c>
      <c r="C151" s="41" t="inlineStr">
        <is>
          <t>mtc</t>
        </is>
      </c>
      <c r="D151" s="42" t="inlineStr">
        <is>
          <t>1.5 / λ0</t>
        </is>
      </c>
      <c r="E151" s="50">
        <f>1.5/E150</f>
        <v/>
      </c>
      <c r="F151" s="44" t="inlineStr">
        <is>
          <t>ч</t>
        </is>
      </c>
      <c r="G151" s="45" t="inlineStr">
        <is>
          <t>mtc = 1.5 / 0.0003062 ≈ 4898.76 ч</t>
        </is>
      </c>
    </row>
    <row r="152" ht="20" customHeight="1">
      <c r="B152" s="40" t="inlineStr">
        <is>
          <t>Вероятность безотказной работы Pc(20)</t>
        </is>
      </c>
      <c r="C152" s="41" t="inlineStr">
        <is>
          <t>Pc(20)</t>
        </is>
      </c>
      <c r="D152" s="42" t="inlineStr">
        <is>
          <t>1 - (1 - EXP(-λ0*t))^2</t>
        </is>
      </c>
      <c r="E152" s="54">
        <f>1-(1-EXP(-E150*E149))^2</f>
        <v/>
      </c>
      <c r="F152" s="44" t="inlineStr">
        <is>
          <t>—</t>
        </is>
      </c>
      <c r="G152" s="45" t="inlineStr">
        <is>
          <t>Pc(20) = 2e^-λ0t - e^-2λ0t</t>
        </is>
      </c>
    </row>
    <row r="153" ht="20" customHeight="1">
      <c r="B153" s="40" t="inlineStr">
        <is>
          <t>Частота отказов вычислителя fc(20)</t>
        </is>
      </c>
      <c r="C153" s="41" t="inlineStr">
        <is>
          <t>fc(20)</t>
        </is>
      </c>
      <c r="D153" s="42" t="inlineStr">
        <is>
          <t>2*λ0*EXP(-λ0*t)*(1-EXP(-λ0*t))</t>
        </is>
      </c>
      <c r="E153" s="51">
        <f>2*E150*EXP(-E150*E149)*(1-EXP(-E150*E149))</f>
        <v/>
      </c>
      <c r="F153" s="44" t="inlineStr">
        <is>
          <t>1/ч</t>
        </is>
      </c>
      <c r="G153" s="45" t="inlineStr">
        <is>
          <t>fc(20) = 2λ0*e^-λ0t*(1-e^-λ0t)</t>
        </is>
      </c>
    </row>
    <row r="154" ht="20" customHeight="1">
      <c r="B154" s="40" t="inlineStr">
        <is>
          <t>Интенсивность отказов вычислителя λc(20)</t>
        </is>
      </c>
      <c r="C154" s="41" t="inlineStr">
        <is>
          <t>λc(20)</t>
        </is>
      </c>
      <c r="D154" s="42" t="inlineStr">
        <is>
          <t>fc(20) / Pc(20)</t>
        </is>
      </c>
      <c r="E154" s="51">
        <f>E153/E152</f>
        <v/>
      </c>
      <c r="F154" s="44" t="inlineStr">
        <is>
          <t>1/ч</t>
        </is>
      </c>
      <c r="G154" s="45" t="inlineStr">
        <is>
          <t>λc(20) = fc(20) / Pc(20)</t>
        </is>
      </c>
    </row>
    <row r="155" ht="24" customHeight="1">
      <c r="B155" s="47" t="inlineStr">
        <is>
          <t>Вывод: При t=20 ч: Pc=0.999963 (99.996%), mtc=4898.76 ч, fc=3.71*10^-6 1/ч, λc=3.71*10^-6 1/ч. Дублирование гарантирует высочайшую безопасность вычислений.</t>
        </is>
      </c>
      <c r="C155" s="48" t="n"/>
      <c r="D155" s="48" t="n"/>
      <c r="E155" s="48" t="n"/>
      <c r="F155" s="48" t="n"/>
      <c r="G155" s="48" t="n"/>
    </row>
  </sheetData>
  <mergeCells count="36">
    <mergeCell ref="B2:G2"/>
    <mergeCell ref="B117:G117"/>
    <mergeCell ref="B145:G145"/>
    <mergeCell ref="B17:G17"/>
    <mergeCell ref="B132:G132"/>
    <mergeCell ref="B88:G88"/>
    <mergeCell ref="B128:G128"/>
    <mergeCell ref="B118:G118"/>
    <mergeCell ref="B49:G49"/>
    <mergeCell ref="B92:G92"/>
    <mergeCell ref="B6:G6"/>
    <mergeCell ref="B20:G20"/>
    <mergeCell ref="B36:G36"/>
    <mergeCell ref="B76:G76"/>
    <mergeCell ref="B114:G114"/>
    <mergeCell ref="B63:G63"/>
    <mergeCell ref="B32:G32"/>
    <mergeCell ref="B4:G4"/>
    <mergeCell ref="B35:G35"/>
    <mergeCell ref="B50:G50"/>
    <mergeCell ref="B75:G75"/>
    <mergeCell ref="B106:G106"/>
    <mergeCell ref="B144:G144"/>
    <mergeCell ref="B62:G62"/>
    <mergeCell ref="B7:G7"/>
    <mergeCell ref="B72:G72"/>
    <mergeCell ref="B91:G91"/>
    <mergeCell ref="B3:G3"/>
    <mergeCell ref="B141:G141"/>
    <mergeCell ref="B46:G46"/>
    <mergeCell ref="B59:G59"/>
    <mergeCell ref="B131:G131"/>
    <mergeCell ref="B102:G102"/>
    <mergeCell ref="B155:G155"/>
    <mergeCell ref="B105:G105"/>
    <mergeCell ref="B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8" customWidth="1" min="4" max="4"/>
    <col width="18" customWidth="1" min="5" max="5"/>
    <col width="12" customWidth="1" min="6" max="6"/>
    <col width="42" customWidth="1" min="7" max="7"/>
  </cols>
  <sheetData>
    <row r="2" ht="25" customHeight="1">
      <c r="B2" s="1" t="inlineStr">
        <is>
          <t>ТИПОВЫЕ ЗАДАЧИ С РЕШЕНИЕМ (№ 1 – 3)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Практическая работа № 4. Раздел 4.2 презентации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Методические примеры расчета резервированных систем</t>
        </is>
      </c>
      <c r="C4" s="4" t="n"/>
      <c r="D4" s="4" t="n"/>
      <c r="E4" s="4" t="n"/>
      <c r="F4" s="4" t="n"/>
      <c r="G4" s="4" t="n"/>
    </row>
    <row r="6" ht="22" customHeight="1">
      <c r="B6" s="29" t="inlineStr">
        <is>
          <t>ТИПОВАЯ ЗАДАЧА № 1. СРАВНЕНИЕ ХАРАКТЕРИСТИК ДУБЛИРОВАННОЙ И НЕБЕЗЕРВНОЙ СИСТЕМ</t>
        </is>
      </c>
      <c r="C6" s="30" t="n"/>
      <c r="D6" s="30" t="n"/>
      <c r="E6" s="30" t="n"/>
      <c r="F6" s="30" t="n"/>
      <c r="G6" s="30" t="n"/>
    </row>
    <row r="7" ht="36" customHeight="1">
      <c r="B7" s="31" t="inlineStr">
        <is>
          <t>Условие: Система состоит из n=10 равнонадежных элементов, mt=1000 ч. Экспоненциальный закон. Найти mtc, fc(50), λc(50) при t=50 ч для: а) нерезервированной системы; б) дублированной системы с постоянным резервом.</t>
        </is>
      </c>
      <c r="C7" s="32" t="n"/>
      <c r="D7" s="32" t="n"/>
      <c r="E7" s="32" t="n"/>
      <c r="F7" s="32" t="n"/>
      <c r="G7" s="32" t="n"/>
    </row>
    <row r="8" ht="20" customHeight="1">
      <c r="B8" s="33" t="inlineStr">
        <is>
          <t>Параметр / Величина</t>
        </is>
      </c>
      <c r="C8" s="33" t="inlineStr">
        <is>
          <t>Обозначение</t>
        </is>
      </c>
      <c r="D8" s="33" t="inlineStr">
        <is>
          <t>Формула / Источник</t>
        </is>
      </c>
      <c r="E8" s="33" t="inlineStr">
        <is>
          <t>Значение</t>
        </is>
      </c>
      <c r="F8" s="33" t="inlineStr">
        <is>
          <t>Ед. изм.</t>
        </is>
      </c>
      <c r="G8" s="33" t="inlineStr">
        <is>
          <t>Примечание</t>
        </is>
      </c>
    </row>
    <row r="9" ht="19" customHeight="1">
      <c r="B9" s="14" t="inlineStr">
        <is>
          <t>Число элементов системы</t>
        </is>
      </c>
      <c r="C9" s="15" t="inlineStr">
        <is>
          <t>n</t>
        </is>
      </c>
      <c r="D9" s="15" t="inlineStr">
        <is>
          <t>Дано</t>
        </is>
      </c>
      <c r="E9" s="49" t="n">
        <v>10</v>
      </c>
      <c r="F9" s="17" t="inlineStr">
        <is>
          <t>шт.</t>
        </is>
      </c>
      <c r="G9" s="35" t="inlineStr">
        <is>
          <t>Равнонадежные элементы</t>
        </is>
      </c>
    </row>
    <row r="10" ht="19" customHeight="1">
      <c r="B10" s="14" t="inlineStr">
        <is>
          <t>Средняя наработка элемента</t>
        </is>
      </c>
      <c r="C10" s="15" t="inlineStr">
        <is>
          <t>mt</t>
        </is>
      </c>
      <c r="D10" s="15" t="inlineStr">
        <is>
          <t>Дано</t>
        </is>
      </c>
      <c r="E10" s="36" t="n">
        <v>1000</v>
      </c>
      <c r="F10" s="17" t="inlineStr">
        <is>
          <t>ч</t>
        </is>
      </c>
      <c r="G10" s="35" t="inlineStr">
        <is>
          <t>mt = 1000 ч</t>
        </is>
      </c>
    </row>
    <row r="11" ht="19" customHeight="1">
      <c r="B11" s="14" t="inlineStr">
        <is>
          <t>Контрольное время наработки</t>
        </is>
      </c>
      <c r="C11" s="15" t="inlineStr">
        <is>
          <t>t</t>
        </is>
      </c>
      <c r="D11" s="15" t="inlineStr">
        <is>
          <t>Дано</t>
        </is>
      </c>
      <c r="E11" s="36" t="n">
        <v>50</v>
      </c>
      <c r="F11" s="17" t="inlineStr">
        <is>
          <t>ч</t>
        </is>
      </c>
      <c r="G11" s="35" t="inlineStr">
        <is>
          <t>t = 50 ч</t>
        </is>
      </c>
    </row>
    <row r="12" ht="20" customHeight="1">
      <c r="B12" s="10" t="inlineStr">
        <is>
          <t>Интенсивность отказа элемента</t>
        </is>
      </c>
      <c r="C12" s="20" t="inlineStr">
        <is>
          <t>λi</t>
        </is>
      </c>
      <c r="D12" s="37" t="inlineStr">
        <is>
          <t>1 / mt</t>
        </is>
      </c>
      <c r="E12" s="38">
        <f>1/E10</f>
        <v/>
      </c>
      <c r="F12" s="22" t="inlineStr">
        <is>
          <t>1/ч</t>
        </is>
      </c>
      <c r="G12" s="39" t="inlineStr">
        <is>
          <t>λi = 1/1000 = 0.001 1/ч</t>
        </is>
      </c>
    </row>
    <row r="13" ht="20" customHeight="1">
      <c r="B13" s="10" t="inlineStr">
        <is>
          <t>Интенсивность нерезервированной цепи</t>
        </is>
      </c>
      <c r="C13" s="20" t="inlineStr">
        <is>
          <t>λ0</t>
        </is>
      </c>
      <c r="D13" s="37" t="inlineStr">
        <is>
          <t>n * λi</t>
        </is>
      </c>
      <c r="E13" s="38">
        <f>E9*E12</f>
        <v/>
      </c>
      <c r="F13" s="22" t="inlineStr">
        <is>
          <t>1/ч</t>
        </is>
      </c>
      <c r="G13" s="39" t="inlineStr">
        <is>
          <t>λ0 = 10 * 0.001 = 0.01 1/ч</t>
        </is>
      </c>
    </row>
    <row r="14" ht="20" customHeight="1">
      <c r="B14" s="40" t="inlineStr">
        <is>
          <t>а) Наработка без резерва mtc_а</t>
        </is>
      </c>
      <c r="C14" s="41" t="inlineStr">
        <is>
          <t>mtc_а</t>
        </is>
      </c>
      <c r="D14" s="42" t="inlineStr">
        <is>
          <t>1 / λ0</t>
        </is>
      </c>
      <c r="E14" s="50">
        <f>1/E13</f>
        <v/>
      </c>
      <c r="F14" s="44" t="inlineStr">
        <is>
          <t>ч</t>
        </is>
      </c>
      <c r="G14" s="45" t="inlineStr">
        <is>
          <t>mtc = 1 / 0.01 = 100 ч</t>
        </is>
      </c>
    </row>
    <row r="15" ht="20" customHeight="1">
      <c r="B15" s="40" t="inlineStr">
        <is>
          <t>а) Вероятность без резерва Pc_а(50)</t>
        </is>
      </c>
      <c r="C15" s="41" t="inlineStr">
        <is>
          <t>Pc_а(50)</t>
        </is>
      </c>
      <c r="D15" s="42" t="inlineStr">
        <is>
          <t>EXP(-λ0 * t)</t>
        </is>
      </c>
      <c r="E15" s="43">
        <f>EXP(-E13*E11)</f>
        <v/>
      </c>
      <c r="F15" s="44" t="inlineStr">
        <is>
          <t>—</t>
        </is>
      </c>
      <c r="G15" s="45" t="inlineStr">
        <is>
          <t>Pc(50) = e^-0.5 ≈ 0.60653</t>
        </is>
      </c>
    </row>
    <row r="16" ht="20" customHeight="1">
      <c r="B16" s="40" t="inlineStr">
        <is>
          <t>а) Частота отказов без резерва fc_а(50)</t>
        </is>
      </c>
      <c r="C16" s="41" t="inlineStr">
        <is>
          <t>fc_а(50)</t>
        </is>
      </c>
      <c r="D16" s="42" t="inlineStr">
        <is>
          <t>λ0 * Pc_а</t>
        </is>
      </c>
      <c r="E16" s="51">
        <f>E13*E15</f>
        <v/>
      </c>
      <c r="F16" s="44" t="inlineStr">
        <is>
          <t>1/ч</t>
        </is>
      </c>
      <c r="G16" s="45" t="inlineStr">
        <is>
          <t>fc(50) = λ0 * Pc(50) ≈ 0.006065</t>
        </is>
      </c>
    </row>
    <row r="17" ht="20" customHeight="1">
      <c r="B17" s="40" t="inlineStr">
        <is>
          <t>а) Интенсивность без резерва λc_а(50)</t>
        </is>
      </c>
      <c r="C17" s="41" t="inlineStr">
        <is>
          <t>λc_а(50)</t>
        </is>
      </c>
      <c r="D17" s="42" t="inlineStr">
        <is>
          <t>λ0</t>
        </is>
      </c>
      <c r="E17" s="51">
        <f>E13</f>
        <v/>
      </c>
      <c r="F17" s="44" t="inlineStr">
        <is>
          <t>1/ч</t>
        </is>
      </c>
      <c r="G17" s="45" t="inlineStr">
        <is>
          <t>λc(t) = const = 0.01 1/ч</t>
        </is>
      </c>
    </row>
    <row r="18" ht="20" customHeight="1">
      <c r="B18" s="40" t="inlineStr">
        <is>
          <t>б) Наработка дублированной mtc_б</t>
        </is>
      </c>
      <c r="C18" s="41" t="inlineStr">
        <is>
          <t>mtc_б</t>
        </is>
      </c>
      <c r="D18" s="42" t="inlineStr">
        <is>
          <t>1.5 / λ0</t>
        </is>
      </c>
      <c r="E18" s="50">
        <f>1.5/E13</f>
        <v/>
      </c>
      <c r="F18" s="44" t="inlineStr">
        <is>
          <t>ч</t>
        </is>
      </c>
      <c r="G18" s="45" t="inlineStr">
        <is>
          <t>mtc = 1.5 * 100 = 150 ч</t>
        </is>
      </c>
    </row>
    <row r="19" ht="20" customHeight="1">
      <c r="B19" s="40" t="inlineStr">
        <is>
          <t>б) Вероятность дублированной Pc_б(50)</t>
        </is>
      </c>
      <c r="C19" s="41" t="inlineStr">
        <is>
          <t>Pc_б(50)</t>
        </is>
      </c>
      <c r="D19" s="42" t="inlineStr">
        <is>
          <t>1 - (1 - EXP(-λ0*t))^2</t>
        </is>
      </c>
      <c r="E19" s="43">
        <f>1-(1-EXP(-E13*E11))^2</f>
        <v/>
      </c>
      <c r="F19" s="44" t="inlineStr">
        <is>
          <t>—</t>
        </is>
      </c>
      <c r="G19" s="45" t="inlineStr">
        <is>
          <t>Pc(50) = 2e^-0.5 - e^-1.0 ≈ 0.84518</t>
        </is>
      </c>
    </row>
    <row r="20" ht="20" customHeight="1">
      <c r="B20" s="40" t="inlineStr">
        <is>
          <t>б) Частота отказов дублированной fc_б(50)</t>
        </is>
      </c>
      <c r="C20" s="41" t="inlineStr">
        <is>
          <t>fc_б(50)</t>
        </is>
      </c>
      <c r="D20" s="42" t="inlineStr">
        <is>
          <t>2*λ0*EXP(-λ0*t)*(1-EXP(-λ0*t))</t>
        </is>
      </c>
      <c r="E20" s="51">
        <f>2*E13*EXP(-E13*E11)*(1-EXP(-E13*E11))</f>
        <v/>
      </c>
      <c r="F20" s="44" t="inlineStr">
        <is>
          <t>1/ч</t>
        </is>
      </c>
      <c r="G20" s="45" t="inlineStr">
        <is>
          <t>fc(50) ≈ 0.004773 1/ч</t>
        </is>
      </c>
    </row>
    <row r="21" ht="20" customHeight="1">
      <c r="B21" s="40" t="inlineStr">
        <is>
          <t>б) Интенсивность дублированной λc_б(50)</t>
        </is>
      </c>
      <c r="C21" s="41" t="inlineStr">
        <is>
          <t>λc_б(50)</t>
        </is>
      </c>
      <c r="D21" s="42" t="inlineStr">
        <is>
          <t>fc_б / Pc_б</t>
        </is>
      </c>
      <c r="E21" s="51">
        <f>E20/E19</f>
        <v/>
      </c>
      <c r="F21" s="44" t="inlineStr">
        <is>
          <t>1/ч</t>
        </is>
      </c>
      <c r="G21" s="45" t="inlineStr">
        <is>
          <t>λc(50) ≈ 0.005647 1/ч</t>
        </is>
      </c>
    </row>
    <row r="22" ht="24" customHeight="1">
      <c r="B22" s="47" t="inlineStr">
        <is>
          <t>Вывод: При дублировании средняя наработка возрастает в 1.5 раза (со 100 до 150 ч), а вероятность возрастает с 0.6065 до 0.8452.</t>
        </is>
      </c>
      <c r="C22" s="48" t="n"/>
      <c r="D22" s="48" t="n"/>
      <c r="E22" s="48" t="n"/>
      <c r="F22" s="48" t="n"/>
      <c r="G22" s="48" t="n"/>
    </row>
    <row r="25" ht="22" customHeight="1">
      <c r="B25" s="29" t="inlineStr">
        <is>
          <t>ТИПОВАЯ ЗАДАЧА № 2. ДУБЛИРОВАНИЕ КАНАЛА УПРАВЛЕНИЯ</t>
        </is>
      </c>
      <c r="C25" s="30" t="n"/>
      <c r="D25" s="30" t="n"/>
      <c r="E25" s="30" t="n"/>
      <c r="F25" s="30" t="n"/>
      <c r="G25" s="30" t="n"/>
    </row>
    <row r="26" ht="36" customHeight="1">
      <c r="B26" s="31" t="inlineStr">
        <is>
          <t>Условие: В технологической системе применено дублирование канала управления (m=1, n=1). Интенсивность отказов канала λ=10^-2 1/ч. Рассчитать Pc(10), mtc, fc(10), λc(10) при t=10 ч.</t>
        </is>
      </c>
      <c r="C26" s="32" t="n"/>
      <c r="D26" s="32" t="n"/>
      <c r="E26" s="32" t="n"/>
      <c r="F26" s="32" t="n"/>
      <c r="G26" s="32" t="n"/>
    </row>
    <row r="27" ht="20" customHeight="1">
      <c r="B27" s="33" t="inlineStr">
        <is>
          <t>Параметр / Величина</t>
        </is>
      </c>
      <c r="C27" s="33" t="inlineStr">
        <is>
          <t>Обозначение</t>
        </is>
      </c>
      <c r="D27" s="33" t="inlineStr">
        <is>
          <t>Формула / Источник</t>
        </is>
      </c>
      <c r="E27" s="33" t="inlineStr">
        <is>
          <t>Значение</t>
        </is>
      </c>
      <c r="F27" s="33" t="inlineStr">
        <is>
          <t>Ед. изм.</t>
        </is>
      </c>
      <c r="G27" s="33" t="inlineStr">
        <is>
          <t>Примечание</t>
        </is>
      </c>
    </row>
    <row r="28" ht="19" customHeight="1">
      <c r="B28" s="14" t="inlineStr">
        <is>
          <t>Интенсивность отказов канала</t>
        </is>
      </c>
      <c r="C28" s="15" t="inlineStr">
        <is>
          <t>λ</t>
        </is>
      </c>
      <c r="D28" s="15" t="inlineStr">
        <is>
          <t>Дано</t>
        </is>
      </c>
      <c r="E28" s="34" t="n">
        <v>0.01</v>
      </c>
      <c r="F28" s="17" t="inlineStr">
        <is>
          <t>1/ч</t>
        </is>
      </c>
      <c r="G28" s="35" t="inlineStr">
        <is>
          <t>λ = 10^-2 = 0.01 1/ч</t>
        </is>
      </c>
    </row>
    <row r="29" ht="19" customHeight="1">
      <c r="B29" s="14" t="inlineStr">
        <is>
          <t>Время оценки</t>
        </is>
      </c>
      <c r="C29" s="15" t="inlineStr">
        <is>
          <t>t</t>
        </is>
      </c>
      <c r="D29" s="15" t="inlineStr">
        <is>
          <t>Дано</t>
        </is>
      </c>
      <c r="E29" s="36" t="n">
        <v>10</v>
      </c>
      <c r="F29" s="17" t="inlineStr">
        <is>
          <t>ч</t>
        </is>
      </c>
      <c r="G29" s="35" t="inlineStr">
        <is>
          <t>Контрольная точка t = 10 ч</t>
        </is>
      </c>
    </row>
    <row r="30" ht="20" customHeight="1">
      <c r="B30" s="40" t="inlineStr">
        <is>
          <t>Вероятность безотказной работы Pc(10)</t>
        </is>
      </c>
      <c r="C30" s="41" t="inlineStr">
        <is>
          <t>Pc(10)</t>
        </is>
      </c>
      <c r="D30" s="42" t="inlineStr">
        <is>
          <t>1 - (1 - EXP(-λ*t))^2</t>
        </is>
      </c>
      <c r="E30" s="43">
        <f>1-(1-EXP(-E28*E29))^2</f>
        <v/>
      </c>
      <c r="F30" s="44" t="inlineStr">
        <is>
          <t>—</t>
        </is>
      </c>
      <c r="G30" s="45" t="inlineStr">
        <is>
          <t>Pc(10) = 1 - (1 - e^-0.1)^2 ≈ 0.99094</t>
        </is>
      </c>
    </row>
    <row r="31" ht="20" customHeight="1">
      <c r="B31" s="40" t="inlineStr">
        <is>
          <t>Средняя наработка до отказа mtc</t>
        </is>
      </c>
      <c r="C31" s="41" t="inlineStr">
        <is>
          <t>mtc</t>
        </is>
      </c>
      <c r="D31" s="42" t="inlineStr">
        <is>
          <t>1.5 / λ</t>
        </is>
      </c>
      <c r="E31" s="50">
        <f>1.5/E28</f>
        <v/>
      </c>
      <c r="F31" s="44" t="inlineStr">
        <is>
          <t>ч</t>
        </is>
      </c>
      <c r="G31" s="45" t="inlineStr">
        <is>
          <t>mtc = 1.5 / 0.01 = 150 ч</t>
        </is>
      </c>
    </row>
    <row r="32" ht="20" customHeight="1">
      <c r="B32" s="40" t="inlineStr">
        <is>
          <t>Частота отказов fc(10)</t>
        </is>
      </c>
      <c r="C32" s="41" t="inlineStr">
        <is>
          <t>fc(10)</t>
        </is>
      </c>
      <c r="D32" s="42" t="inlineStr">
        <is>
          <t>2*λ*EXP(-λ*t)*(1-EXP(-λ*t))</t>
        </is>
      </c>
      <c r="E32" s="51">
        <f>2*E28*EXP(-E28*E29)*(1-EXP(-E28*E29))</f>
        <v/>
      </c>
      <c r="F32" s="44" t="inlineStr">
        <is>
          <t>1/ч</t>
        </is>
      </c>
      <c r="G32" s="45" t="inlineStr">
        <is>
          <t>fc(10) = 0.02*e^-0.1*(1-e^-0.1) ≈ 0.001722</t>
        </is>
      </c>
    </row>
    <row r="33" ht="20" customHeight="1">
      <c r="B33" s="40" t="inlineStr">
        <is>
          <t>Интенсивность отказов λc(10)</t>
        </is>
      </c>
      <c r="C33" s="41" t="inlineStr">
        <is>
          <t>λc(10)</t>
        </is>
      </c>
      <c r="D33" s="42" t="inlineStr">
        <is>
          <t>fc(10) / Pc(10)</t>
        </is>
      </c>
      <c r="E33" s="51">
        <f>E32/E30</f>
        <v/>
      </c>
      <c r="F33" s="44" t="inlineStr">
        <is>
          <t>1/ч</t>
        </is>
      </c>
      <c r="G33" s="45" t="inlineStr">
        <is>
          <t>λc(10) ≈ 0.001738 1/ч</t>
        </is>
      </c>
    </row>
    <row r="34" ht="20" customHeight="1">
      <c r="B34" s="47" t="inlineStr">
        <is>
          <t>Вывод: При t=10 ч: Pc=0.99094 (в слайде ≈0.99), mtc=150 ч, fc=0.001722 1/ч, λc=0.001738 1/ч.</t>
        </is>
      </c>
      <c r="C34" s="48" t="n"/>
      <c r="D34" s="48" t="n"/>
      <c r="E34" s="48" t="n"/>
      <c r="F34" s="48" t="n"/>
      <c r="G34" s="48" t="n"/>
    </row>
    <row r="37" ht="22" customHeight="1">
      <c r="B37" s="29" t="inlineStr">
        <is>
          <t>ТИПОВАЯ ЗАДАЧА № 3. ОЦЕНКА ДОПУСТИМОЙ ИНТЕНСИВНОСТИ ЭЛЕМЕНТА ПРИ ДУБЛИРОВАНИИ</t>
        </is>
      </c>
      <c r="C37" s="30" t="n"/>
      <c r="D37" s="30" t="n"/>
      <c r="E37" s="30" t="n"/>
      <c r="F37" s="30" t="n"/>
      <c r="G37" s="30" t="n"/>
    </row>
    <row r="38" ht="36" customHeight="1">
      <c r="B38" s="31" t="inlineStr">
        <is>
          <t>Условие: Нерезервированная система состоит из n=5000 элементов. Предполагается провести общее дублирование. Оценить требуемую среднюю интенсивность одного элемента при условии Pc(10)&gt;=0.9 при t=10 ч.</t>
        </is>
      </c>
      <c r="C38" s="32" t="n"/>
      <c r="D38" s="32" t="n"/>
      <c r="E38" s="32" t="n"/>
      <c r="F38" s="32" t="n"/>
      <c r="G38" s="32" t="n"/>
    </row>
    <row r="39" ht="20" customHeight="1">
      <c r="B39" s="33" t="inlineStr">
        <is>
          <t>Параметр / Величина</t>
        </is>
      </c>
      <c r="C39" s="33" t="inlineStr">
        <is>
          <t>Обозначение</t>
        </is>
      </c>
      <c r="D39" s="33" t="inlineStr">
        <is>
          <t>Формула / Источник</t>
        </is>
      </c>
      <c r="E39" s="33" t="inlineStr">
        <is>
          <t>Значение</t>
        </is>
      </c>
      <c r="F39" s="33" t="inlineStr">
        <is>
          <t>Ед. изм.</t>
        </is>
      </c>
      <c r="G39" s="33" t="inlineStr">
        <is>
          <t>Примечание</t>
        </is>
      </c>
    </row>
    <row r="40" ht="19" customHeight="1">
      <c r="B40" s="14" t="inlineStr">
        <is>
          <t>Число элементов</t>
        </is>
      </c>
      <c r="C40" s="15" t="inlineStr">
        <is>
          <t>n</t>
        </is>
      </c>
      <c r="D40" s="15" t="inlineStr">
        <is>
          <t>Дано</t>
        </is>
      </c>
      <c r="E40" s="49" t="n">
        <v>5000</v>
      </c>
      <c r="F40" s="17" t="inlineStr">
        <is>
          <t>шт.</t>
        </is>
      </c>
      <c r="G40" s="35" t="inlineStr">
        <is>
          <t>Объем системы</t>
        </is>
      </c>
    </row>
    <row r="41" ht="19" customHeight="1">
      <c r="B41" s="14" t="inlineStr">
        <is>
          <t>Требуемая надежность системы</t>
        </is>
      </c>
      <c r="C41" s="15" t="inlineStr">
        <is>
          <t>Pc</t>
        </is>
      </c>
      <c r="D41" s="15" t="inlineStr">
        <is>
          <t>Дано</t>
        </is>
      </c>
      <c r="E41" s="52" t="n">
        <v>0.9</v>
      </c>
      <c r="F41" s="17" t="inlineStr">
        <is>
          <t>—</t>
        </is>
      </c>
      <c r="G41" s="35" t="inlineStr">
        <is>
          <t>Pc(10) &gt;= 0.90</t>
        </is>
      </c>
    </row>
    <row r="42" ht="19" customHeight="1">
      <c r="B42" s="14" t="inlineStr">
        <is>
          <t>Время наработки</t>
        </is>
      </c>
      <c r="C42" s="15" t="inlineStr">
        <is>
          <t>t</t>
        </is>
      </c>
      <c r="D42" s="15" t="inlineStr">
        <is>
          <t>Дано</t>
        </is>
      </c>
      <c r="E42" s="36" t="n">
        <v>10</v>
      </c>
      <c r="F42" s="17" t="inlineStr">
        <is>
          <t>ч</t>
        </is>
      </c>
      <c r="G42" s="35" t="inlineStr">
        <is>
          <t>t = 10 ч</t>
        </is>
      </c>
    </row>
    <row r="43" ht="20" customHeight="1">
      <c r="B43" s="10" t="inlineStr">
        <is>
          <t>Требуемая надежность цепи Pцепь</t>
        </is>
      </c>
      <c r="C43" s="20" t="inlineStr">
        <is>
          <t>Pцепь</t>
        </is>
      </c>
      <c r="D43" s="37" t="inlineStr">
        <is>
          <t>1 - SQRT(1 - Pc)</t>
        </is>
      </c>
      <c r="E43" s="46">
        <f>1-SQRT(1-E41)</f>
        <v/>
      </c>
      <c r="F43" s="22" t="inlineStr">
        <is>
          <t>—</t>
        </is>
      </c>
      <c r="G43" s="39" t="inlineStr">
        <is>
          <t>Pцепь = 1 - sqrt(0.1) ≈ 0.683772</t>
        </is>
      </c>
    </row>
    <row r="44" ht="20" customHeight="1">
      <c r="B44" s="40" t="inlineStr">
        <is>
          <t>Приближенное разложение (по слайду)</t>
        </is>
      </c>
      <c r="C44" s="41" t="inlineStr">
        <is>
          <t>λ_прибл</t>
        </is>
      </c>
      <c r="D44" s="42" t="inlineStr">
        <is>
          <t>SQRT(1 - Pc) / (n * t)</t>
        </is>
      </c>
      <c r="E44" s="51">
        <f>SQRT(1-E41)/(E40*E42)</f>
        <v/>
      </c>
      <c r="F44" s="44" t="inlineStr">
        <is>
          <t>1/ч</t>
        </is>
      </c>
      <c r="G44" s="45" t="inlineStr">
        <is>
          <t>λ &lt;= (6.32*10^-5)/10 = 6.32*10^-6 1/ч</t>
        </is>
      </c>
    </row>
    <row r="45" ht="20" customHeight="1">
      <c r="B45" s="40" t="inlineStr">
        <is>
          <t>Точное значение по экспоненте</t>
        </is>
      </c>
      <c r="C45" s="41" t="inlineStr">
        <is>
          <t>λ_точн</t>
        </is>
      </c>
      <c r="D45" s="42" t="inlineStr">
        <is>
          <t>-LN(Pцепь) / (n * t)</t>
        </is>
      </c>
      <c r="E45" s="51">
        <f>-LN(E43)/(E40*E42)</f>
        <v/>
      </c>
      <c r="F45" s="44" t="inlineStr">
        <is>
          <t>1/ч</t>
        </is>
      </c>
      <c r="G45" s="45" t="inlineStr">
        <is>
          <t>λ = -ln(0.683772)/(5000*10) = 7.60*10^-6 1/ч</t>
        </is>
      </c>
    </row>
    <row r="46" ht="24" customHeight="1">
      <c r="B46" s="47" t="inlineStr">
        <is>
          <t>Вывод: По приближенной формуле слайда λ &lt;= 6.32*10^-6 1/ч; по точной формуле экспоненциального закона λ &lt;= 7.60*10^-6 1/ч.</t>
        </is>
      </c>
      <c r="C46" s="48" t="n"/>
      <c r="D46" s="48" t="n"/>
      <c r="E46" s="48" t="n"/>
      <c r="F46" s="48" t="n"/>
      <c r="G46" s="48" t="n"/>
    </row>
  </sheetData>
  <mergeCells count="12">
    <mergeCell ref="B3:G3"/>
    <mergeCell ref="B2:G2"/>
    <mergeCell ref="B34:G34"/>
    <mergeCell ref="B38:G38"/>
    <mergeCell ref="B46:G46"/>
    <mergeCell ref="B22:G22"/>
    <mergeCell ref="B37:G37"/>
    <mergeCell ref="B4:G4"/>
    <mergeCell ref="B26:G26"/>
    <mergeCell ref="B7:G7"/>
    <mergeCell ref="B25:G25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8" customWidth="1" min="4" max="4"/>
    <col width="18" customWidth="1" min="5" max="5"/>
    <col width="12" customWidth="1" min="6" max="6"/>
    <col width="42" customWidth="1" min="7" max="7"/>
  </cols>
  <sheetData>
    <row r="2" ht="25" customHeight="1">
      <c r="B2" s="1" t="inlineStr">
        <is>
          <t>ТЕОРЕТИЧЕСКИЕ ОСНОВЫ РАСЧЕТА НАДЕЖНОСТИ СИСТЕМ С ПОСТОЯННЫМ РЕЗЕРВИРОВАНИЕМ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Справочник формул, определений и математических соотношений (Раздел 4.1)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Нормативно-техническая база расчета надежности резервированных автоматизированных систем</t>
        </is>
      </c>
      <c r="C4" s="4" t="n"/>
      <c r="D4" s="4" t="n"/>
      <c r="E4" s="4" t="n"/>
      <c r="F4" s="4" t="n"/>
      <c r="G4" s="4" t="n"/>
    </row>
    <row r="6" ht="22" customHeight="1">
      <c r="B6" s="29" t="inlineStr">
        <is>
          <t>1. Понятие постоянного резервирования (нагруженного резерва)</t>
        </is>
      </c>
      <c r="C6" s="30" t="n"/>
      <c r="D6" s="30" t="n"/>
      <c r="E6" s="30" t="n"/>
      <c r="F6" s="30" t="n"/>
      <c r="G6" s="30" t="n"/>
    </row>
    <row r="7" ht="24" customHeight="1">
      <c r="B7" s="55" t="inlineStr">
        <is>
          <t>Определение</t>
        </is>
      </c>
      <c r="C7" s="56" t="inlineStr">
        <is>
          <t>Резервные элементы находятся в том же рабочем режиме, что и основной, включены параллельно постоянно в течение всего времени работы.</t>
        </is>
      </c>
      <c r="D7" s="9" t="n"/>
      <c r="E7" s="9" t="n"/>
      <c r="F7" s="9" t="n"/>
      <c r="G7" s="9" t="n"/>
    </row>
    <row r="8" ht="24" customHeight="1">
      <c r="B8" s="55" t="inlineStr">
        <is>
          <t>Особенность</t>
        </is>
      </c>
      <c r="C8" s="56" t="inlineStr">
        <is>
          <t>При отказе элементов перестройка схемы не требуется, отказавший элемент не отключается, задержка включения равна нулю.</t>
        </is>
      </c>
      <c r="D8" s="9" t="n"/>
      <c r="E8" s="9" t="n"/>
      <c r="F8" s="9" t="n"/>
      <c r="G8" s="9" t="n"/>
    </row>
    <row r="9" ht="24" customHeight="1">
      <c r="B9" s="55" t="inlineStr">
        <is>
          <t>Кратность резервирования m</t>
        </is>
      </c>
      <c r="C9" s="56" t="inlineStr">
        <is>
          <t>m = число резервных цепей/элементов. Общее число параллельных цепей равно k = m + 1.</t>
        </is>
      </c>
      <c r="D9" s="9" t="n"/>
      <c r="E9" s="9" t="n"/>
      <c r="F9" s="9" t="n"/>
      <c r="G9" s="9" t="n"/>
    </row>
    <row r="11" ht="22" customHeight="1">
      <c r="B11" s="29" t="inlineStr">
        <is>
          <t>2. Вероятность безотказной работы и отказа системы</t>
        </is>
      </c>
      <c r="C11" s="30" t="n"/>
      <c r="D11" s="30" t="n"/>
      <c r="E11" s="30" t="n"/>
      <c r="F11" s="30" t="n"/>
      <c r="G11" s="30" t="n"/>
    </row>
    <row r="12" ht="20" customHeight="1">
      <c r="B12" s="55" t="inlineStr">
        <is>
          <t>Вероятность отказа qc(t)</t>
        </is>
      </c>
      <c r="C12" s="56" t="inlineStr">
        <is>
          <t>qc(t) = Произведение(q_j(t)) = (1 - P(t))^(m+1) при равнонадежных цепях.</t>
        </is>
      </c>
      <c r="D12" s="9" t="n"/>
      <c r="E12" s="9" t="n"/>
      <c r="F12" s="9" t="n"/>
      <c r="G12" s="9" t="n"/>
    </row>
    <row r="13" ht="24" customHeight="1">
      <c r="B13" s="55" t="inlineStr">
        <is>
          <t>Вероятность безотказной работы Pc(t)</t>
        </is>
      </c>
      <c r="C13" s="56" t="inlineStr">
        <is>
          <t>Pc(t) = 1 - qc(t) = 1 - [1 - P(t)]^(m+1). При дублировании (m=1): Pc(t) = 2*P(t) - P(t)^2.</t>
        </is>
      </c>
      <c r="D13" s="9" t="n"/>
      <c r="E13" s="9" t="n"/>
      <c r="F13" s="9" t="n"/>
      <c r="G13" s="9" t="n"/>
    </row>
    <row r="14" ht="20" customHeight="1">
      <c r="B14" s="55" t="inlineStr">
        <is>
          <t>Экспоненциальный закон цепи</t>
        </is>
      </c>
      <c r="C14" s="56" t="inlineStr">
        <is>
          <t>Если P(t) = exp(-λ0*t), то Pc(t) = 2*exp(-λ0*t) - exp(-2*λ0*t).</t>
        </is>
      </c>
      <c r="D14" s="9" t="n"/>
      <c r="E14" s="9" t="n"/>
      <c r="F14" s="9" t="n"/>
      <c r="G14" s="9" t="n"/>
    </row>
    <row r="16" ht="22" customHeight="1">
      <c r="B16" s="29" t="inlineStr">
        <is>
          <t>3. Наработка на отказ, частота и интенсивность отказов дублированной системы</t>
        </is>
      </c>
      <c r="C16" s="30" t="n"/>
      <c r="D16" s="30" t="n"/>
      <c r="E16" s="30" t="n"/>
      <c r="F16" s="30" t="n"/>
      <c r="G16" s="30" t="n"/>
    </row>
    <row r="17" ht="24" customHeight="1">
      <c r="B17" s="55" t="inlineStr">
        <is>
          <t>Среднее время mtc</t>
        </is>
      </c>
      <c r="C17" s="56" t="inlineStr">
        <is>
          <t>mtc = 1.5 * T0 = 1.5 / λ0 (увеличение средней наработки на 50% по сравнению с нерезервированной цепью).</t>
        </is>
      </c>
      <c r="D17" s="9" t="n"/>
      <c r="E17" s="9" t="n"/>
      <c r="F17" s="9" t="n"/>
      <c r="G17" s="9" t="n"/>
    </row>
    <row r="18" ht="24" customHeight="1">
      <c r="B18" s="55" t="inlineStr">
        <is>
          <t>В общем случае кратности m</t>
        </is>
      </c>
      <c r="C18" s="56" t="inlineStr">
        <is>
          <t>mtc = (1/λ0) * [1 + 1/2 + 1/3 + ... + 1/(m+1)]. При тройном резерве (m=2) mtc = (11/6)/λ0.</t>
        </is>
      </c>
      <c r="D18" s="9" t="n"/>
      <c r="E18" s="9" t="n"/>
      <c r="F18" s="9" t="n"/>
      <c r="G18" s="9" t="n"/>
    </row>
    <row r="19" ht="20" customHeight="1">
      <c r="B19" s="55" t="inlineStr">
        <is>
          <t>Частота отказов fc(t)</t>
        </is>
      </c>
      <c r="C19" s="56" t="inlineStr">
        <is>
          <t>fc(t) = -dPc(t)/dt = 2*λ0*exp(-λ0*t)*[1 - exp(-λ0*t)]. При t=0 fc(0) = 0.</t>
        </is>
      </c>
      <c r="D19" s="9" t="n"/>
      <c r="E19" s="9" t="n"/>
      <c r="F19" s="9" t="n"/>
      <c r="G19" s="9" t="n"/>
    </row>
    <row r="20" ht="24" customHeight="1">
      <c r="B20" s="55" t="inlineStr">
        <is>
          <t>Интенсивность отказов λc(t)</t>
        </is>
      </c>
      <c r="C20" s="56" t="inlineStr">
        <is>
          <t>λc(t) = fc(t) / Pc(t) = 2*λ0*[1 - exp(-λ0*t)] / [2 - exp(-λ0*t)]. При t=0 λc=0; при t-&gt;∞ λc-&gt;λ0.</t>
        </is>
      </c>
      <c r="D20" s="9" t="n"/>
      <c r="E20" s="9" t="n"/>
      <c r="F20" s="9" t="n"/>
      <c r="G20" s="9" t="n"/>
    </row>
    <row r="22" ht="22" customHeight="1">
      <c r="B22" s="29" t="inlineStr">
        <is>
          <t>4. Сравнение общего и раздельного резервирования</t>
        </is>
      </c>
      <c r="C22" s="30" t="n"/>
      <c r="D22" s="30" t="n"/>
      <c r="E22" s="30" t="n"/>
      <c r="F22" s="30" t="n"/>
      <c r="G22" s="30" t="n"/>
    </row>
    <row r="23" ht="24" customHeight="1">
      <c r="B23" s="55" t="inlineStr">
        <is>
          <t>Общее резервирование</t>
        </is>
      </c>
      <c r="C23" s="56" t="inlineStr">
        <is>
          <t>Резервируется вся система из n элементов целиком (дублируется цепочка из n блоков).</t>
        </is>
      </c>
      <c r="D23" s="9" t="n"/>
      <c r="E23" s="9" t="n"/>
      <c r="F23" s="9" t="n"/>
      <c r="G23" s="9" t="n"/>
    </row>
    <row r="24" ht="24" customHeight="1">
      <c r="B24" s="55" t="inlineStr">
        <is>
          <t>Раздельное (поэлементное)</t>
        </is>
      </c>
      <c r="C24" s="56" t="inlineStr">
        <is>
          <t>Каждый отдельный блок системы дублируется независимо, затем дублированные группы соединяются последовательно.</t>
        </is>
      </c>
      <c r="D24" s="9" t="n"/>
      <c r="E24" s="9" t="n"/>
      <c r="F24" s="9" t="n"/>
      <c r="G24" s="9" t="n"/>
    </row>
    <row r="25" ht="24" customHeight="1">
      <c r="B25" s="55" t="inlineStr">
        <is>
          <t>Теорема эффективности</t>
        </is>
      </c>
      <c r="C25" s="56" t="inlineStr">
        <is>
          <t>Раздельное резервирование всегда надежнее общего при одинаковом количестве резервных элементов.</t>
        </is>
      </c>
      <c r="D25" s="9" t="n"/>
      <c r="E25" s="9" t="n"/>
      <c r="F25" s="9" t="n"/>
      <c r="G25" s="9" t="n"/>
    </row>
  </sheetData>
  <mergeCells count="20">
    <mergeCell ref="B2:G2"/>
    <mergeCell ref="C24:G24"/>
    <mergeCell ref="C14:G14"/>
    <mergeCell ref="C20:G20"/>
    <mergeCell ref="C25:G25"/>
    <mergeCell ref="C9:G9"/>
    <mergeCell ref="B6:G6"/>
    <mergeCell ref="C12:G12"/>
    <mergeCell ref="B4:G4"/>
    <mergeCell ref="C23:G23"/>
    <mergeCell ref="C8:G8"/>
    <mergeCell ref="C17:G17"/>
    <mergeCell ref="B3:G3"/>
    <mergeCell ref="B16:G16"/>
    <mergeCell ref="C7:G7"/>
    <mergeCell ref="B22:G22"/>
    <mergeCell ref="C19:G19"/>
    <mergeCell ref="C13:G13"/>
    <mergeCell ref="C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2026-10-22T18:04:34Z</dcterms:created>
  <dcterms:modified xmlns:dcterms="http://purl.org/dc/terms/" xmlns:xsi="http://www.w3.org/2001/XMLSchema-instance" xsi:type="dcterms:W3CDTF">2026-10-22T18:04:34Z</dcterms:modified>
</cp:coreProperties>
</file>