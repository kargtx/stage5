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и Ответы" sheetId="1" state="visible" r:id="rId1"/>
    <sheet xmlns:r="http://schemas.openxmlformats.org/officeDocument/2006/relationships" name="Задачи 8-13" sheetId="2" state="visible" r:id="rId2"/>
    <sheet xmlns:r="http://schemas.openxmlformats.org/officeDocument/2006/relationships" name="Задачи 1-7" sheetId="3" state="visible" r:id="rId3"/>
    <sheet xmlns:r="http://schemas.openxmlformats.org/officeDocument/2006/relationships" name="Теория и формул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0"/>
    <numFmt numFmtId="166" formatCode="#,##0.####"/>
  </numFmts>
  <fonts count="1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0E8F5"/>
      <sz val="10"/>
    </font>
    <font>
      <name val="Segoe UI"/>
      <color rgb="00D0DCF0"/>
      <sz val="9"/>
    </font>
    <font>
      <name val="Segoe UI"/>
      <b val="1"/>
      <color rgb="00FFFFFF"/>
      <sz val="10"/>
    </font>
    <font>
      <name val="Segoe UI"/>
      <i val="1"/>
      <color rgb="004A5568"/>
      <sz val="9"/>
    </font>
    <font>
      <name val="Segoe UI"/>
      <b val="1"/>
      <color rgb="001B365D"/>
      <sz val="11"/>
    </font>
    <font>
      <name val="Segoe UI"/>
      <b val="1"/>
      <color rgb="00FFFFFF"/>
      <sz val="9"/>
    </font>
    <font>
      <name val="Segoe UI"/>
      <color rgb="00202020"/>
      <sz val="9"/>
    </font>
    <font>
      <name val="Segoe UI"/>
      <b val="1"/>
      <color rgb="00202020"/>
      <sz val="9"/>
    </font>
    <font>
      <name val="Segoe UI"/>
      <i val="1"/>
      <color rgb="001F4E78"/>
      <sz val="9"/>
    </font>
    <font>
      <name val="Segoe UI"/>
      <b val="1"/>
      <color rgb="001E4620"/>
      <sz val="10"/>
    </font>
    <font>
      <name val="Segoe UI"/>
      <b val="1"/>
      <color rgb="001B365D"/>
      <sz val="9"/>
    </font>
    <font>
      <name val="Segoe UI"/>
      <color rgb="001F4E78"/>
      <sz val="9"/>
      <u val="single"/>
    </font>
    <font>
      <name val="Segoe UI"/>
      <b val="1"/>
      <color rgb="001E4620"/>
      <sz val="9"/>
    </font>
  </fonts>
  <fills count="10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597"/>
        <bgColor rgb="002F5597"/>
      </patternFill>
    </fill>
    <fill>
      <patternFill patternType="solid">
        <fgColor rgb="00F0F4F8"/>
        <bgColor rgb="00F0F4F8"/>
      </patternFill>
    </fill>
    <fill>
      <patternFill patternType="solid">
        <fgColor rgb="0041679D"/>
        <bgColor rgb="0041679D"/>
      </patternFill>
    </fill>
    <fill>
      <patternFill patternType="solid">
        <fgColor rgb="00E2EFDA"/>
        <bgColor rgb="00E2EFDA"/>
      </patternFill>
    </fill>
    <fill>
      <patternFill patternType="solid">
        <fgColor rgb="00FFF8E7"/>
        <bgColor rgb="00FFF8E7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70AD47"/>
      </left>
      <right style="thin">
        <color rgb="0070AD47"/>
      </right>
      <top style="thin">
        <color rgb="0070AD47"/>
      </top>
      <bottom style="thin">
        <color rgb="0070AD47"/>
      </bottom>
    </border>
    <border>
      <top style="medium">
        <color rgb="001B365D"/>
      </top>
      <bottom style="medium">
        <color rgb="001B365D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double">
        <color rgb="001B365D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165" fontId="11" fillId="6" borderId="2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2" fontId="11" fillId="6" borderId="2" applyAlignment="1" pivotButton="0" quotePrefix="0" xfId="0">
      <alignment horizontal="right" vertical="center"/>
    </xf>
    <xf numFmtId="0" fontId="8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164" fontId="11" fillId="6" borderId="2" applyAlignment="1" pivotButton="0" quotePrefix="0" xfId="0">
      <alignment horizontal="right" vertical="center"/>
    </xf>
    <xf numFmtId="0" fontId="14" fillId="8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7" fillId="3" borderId="1" applyAlignment="1" pivotButton="0" quotePrefix="0" xfId="0">
      <alignment horizontal="center" vertical="center"/>
    </xf>
    <xf numFmtId="0" fontId="8" fillId="0" borderId="1" pivotButton="0" quotePrefix="0" xfId="0"/>
    <xf numFmtId="0" fontId="9" fillId="0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5" fillId="0" borderId="1" pivotButton="0" quotePrefix="0" xfId="0"/>
    <xf numFmtId="11" fontId="9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10" fillId="0" borderId="1" pivotButton="0" quotePrefix="0" xfId="0"/>
    <xf numFmtId="0" fontId="12" fillId="7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/>
    </xf>
    <xf numFmtId="166" fontId="9" fillId="0" borderId="1" applyAlignment="1" pivotButton="0" quotePrefix="0" xfId="0">
      <alignment horizontal="right" vertical="center"/>
    </xf>
    <xf numFmtId="0" fontId="0" fillId="2" borderId="0" applyAlignment="1" pivotButton="0" quotePrefix="0" xfId="0">
      <alignment horizontal="left" vertical="center"/>
    </xf>
    <xf numFmtId="164" fontId="9" fillId="0" borderId="1" applyAlignment="1" pivotButton="0" quotePrefix="0" xfId="0">
      <alignment horizontal="right" vertical="center"/>
    </xf>
    <xf numFmtId="0" fontId="9" fillId="4" borderId="4" applyAlignment="1" pivotButton="0" quotePrefix="0" xfId="0">
      <alignment horizontal="right" vertical="center"/>
    </xf>
    <xf numFmtId="0" fontId="0" fillId="4" borderId="4" pivotButton="0" quotePrefix="0" xfId="0"/>
    <xf numFmtId="164" fontId="11" fillId="6" borderId="4" applyAlignment="1" pivotButton="0" quotePrefix="0" xfId="0">
      <alignment horizontal="right" vertical="center"/>
    </xf>
    <xf numFmtId="0" fontId="9" fillId="0" borderId="4" pivotButton="0" quotePrefix="0" xfId="0"/>
    <xf numFmtId="0" fontId="9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47;&#1072;&#1076;&#1072;&#1095;&#1080; 8-13'!A6" TargetMode="External" Id="rId1"/><Relationship Type="http://schemas.openxmlformats.org/officeDocument/2006/relationships/hyperlink" Target="#'&#1047;&#1072;&#1076;&#1072;&#1095;&#1080; 8-13'!A6" TargetMode="External" Id="rId2"/><Relationship Type="http://schemas.openxmlformats.org/officeDocument/2006/relationships/hyperlink" Target="#'&#1047;&#1072;&#1076;&#1072;&#1095;&#1080; 8-13'!A25" TargetMode="External" Id="rId3"/><Relationship Type="http://schemas.openxmlformats.org/officeDocument/2006/relationships/hyperlink" Target="#'&#1047;&#1072;&#1076;&#1072;&#1095;&#1080; 8-13'!A25" TargetMode="External" Id="rId4"/><Relationship Type="http://schemas.openxmlformats.org/officeDocument/2006/relationships/hyperlink" Target="#'&#1047;&#1072;&#1076;&#1072;&#1095;&#1080; 8-13'!A44" TargetMode="External" Id="rId5"/><Relationship Type="http://schemas.openxmlformats.org/officeDocument/2006/relationships/hyperlink" Target="#'&#1047;&#1072;&#1076;&#1072;&#1095;&#1080; 8-13'!A44" TargetMode="External" Id="rId6"/><Relationship Type="http://schemas.openxmlformats.org/officeDocument/2006/relationships/hyperlink" Target="#'&#1047;&#1072;&#1076;&#1072;&#1095;&#1080; 8-13'!A63" TargetMode="External" Id="rId7"/><Relationship Type="http://schemas.openxmlformats.org/officeDocument/2006/relationships/hyperlink" Target="#'&#1047;&#1072;&#1076;&#1072;&#1095;&#1080; 8-13'!A63" TargetMode="External" Id="rId8"/><Relationship Type="http://schemas.openxmlformats.org/officeDocument/2006/relationships/hyperlink" Target="#'&#1047;&#1072;&#1076;&#1072;&#1095;&#1080; 8-13'!A83" TargetMode="External" Id="rId9"/><Relationship Type="http://schemas.openxmlformats.org/officeDocument/2006/relationships/hyperlink" Target="#'&#1047;&#1072;&#1076;&#1072;&#1095;&#1080; 8-13'!A83" TargetMode="External" Id="rId10"/><Relationship Type="http://schemas.openxmlformats.org/officeDocument/2006/relationships/hyperlink" Target="#'&#1047;&#1072;&#1076;&#1072;&#1095;&#1080; 8-13'!A101" TargetMode="External" Id="rId11"/><Relationship Type="http://schemas.openxmlformats.org/officeDocument/2006/relationships/hyperlink" Target="#'&#1047;&#1072;&#1076;&#1072;&#1095;&#1080; 8-13'!A101" TargetMode="External" Id="rId12"/><Relationship Type="http://schemas.openxmlformats.org/officeDocument/2006/relationships/hyperlink" Target="#'&#1047;&#1072;&#1076;&#1072;&#1095;&#1080; 1-7'!A6" TargetMode="External" Id="rId13"/><Relationship Type="http://schemas.openxmlformats.org/officeDocument/2006/relationships/hyperlink" Target="#'&#1047;&#1072;&#1076;&#1072;&#1095;&#1080; 1-7'!A26" TargetMode="External" Id="rId14"/><Relationship Type="http://schemas.openxmlformats.org/officeDocument/2006/relationships/hyperlink" Target="#'&#1047;&#1072;&#1076;&#1072;&#1095;&#1080; 1-7'!A45" TargetMode="External" Id="rId15"/><Relationship Type="http://schemas.openxmlformats.org/officeDocument/2006/relationships/hyperlink" Target="#'&#1047;&#1072;&#1076;&#1072;&#1095;&#1080; 1-7'!A64" TargetMode="External" Id="rId16"/><Relationship Type="http://schemas.openxmlformats.org/officeDocument/2006/relationships/hyperlink" Target="#'&#1047;&#1072;&#1076;&#1072;&#1095;&#1080; 1-7'!A81" TargetMode="External" Id="rId17"/><Relationship Type="http://schemas.openxmlformats.org/officeDocument/2006/relationships/hyperlink" Target="#'&#1047;&#1072;&#1076;&#1072;&#1095;&#1080; 1-7'!A97" TargetMode="External" Id="rId18"/><Relationship Type="http://schemas.openxmlformats.org/officeDocument/2006/relationships/hyperlink" Target="#'&#1047;&#1072;&#1076;&#1072;&#1095;&#1080; 1-7'!A113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38" customWidth="1" min="3" max="3"/>
    <col width="22" customWidth="1" min="4" max="4"/>
    <col width="28" customWidth="1" min="5" max="5"/>
    <col width="18" customWidth="1" min="6" max="6"/>
    <col width="10" customWidth="1" min="7" max="7"/>
    <col width="18" customWidth="1" min="8" max="8"/>
    <col width="12" customWidth="1" min="9" max="9"/>
  </cols>
  <sheetData>
    <row r="2" ht="26" customHeight="1">
      <c r="B2" s="1" t="inlineStr">
        <is>
          <t>ПРАКТИЧЕСКАЯ РАБОТА № 3 — СВОДНЫЕ РЕЗУЛЬТАТЫ</t>
        </is>
      </c>
      <c r="C2" s="2" t="n"/>
      <c r="D2" s="2" t="n"/>
      <c r="E2" s="2" t="n"/>
      <c r="F2" s="2" t="n"/>
      <c r="G2" s="2" t="n"/>
      <c r="H2" s="2" t="n"/>
    </row>
    <row r="3" ht="20" customHeight="1">
      <c r="B3" s="3" t="inlineStr">
        <is>
          <t>Последовательное соединение элементов в систему (расчет количественных характеристик надежности)</t>
        </is>
      </c>
      <c r="C3" s="4" t="n"/>
      <c r="D3" s="4" t="n"/>
      <c r="E3" s="4" t="n"/>
      <c r="F3" s="4" t="n"/>
      <c r="G3" s="4" t="n"/>
      <c r="H3" s="4" t="n"/>
    </row>
    <row r="4" ht="18" customHeight="1">
      <c r="B4" s="5" t="inlineStr">
        <is>
          <t>Дисциплина: Надежность автоматизированных систем (НАС)  |  Преподаватель: Ризванов  |  Выполнил: Студент Гайнанов Д.И.</t>
        </is>
      </c>
      <c r="C4" s="4" t="n"/>
      <c r="D4" s="4" t="n"/>
      <c r="E4" s="4" t="n"/>
      <c r="F4" s="4" t="n"/>
      <c r="G4" s="4" t="n"/>
      <c r="H4" s="4" t="n"/>
    </row>
    <row r="6" ht="24" customHeight="1">
      <c r="B6" s="6" t="inlineStr">
        <is>
          <t>1. РЕЗУЛЬТАТЫ РЕШЕНИЯ ЗАДАЧ ДЛЯ САМОСТОЯТЕЛЬНОГО РЕШЕНИЯ (№ 8 – 13)</t>
        </is>
      </c>
    </row>
    <row r="7" ht="26" customHeight="1">
      <c r="B7" s="7" t="inlineStr">
        <is>
          <t>№ задачи</t>
        </is>
      </c>
      <c r="C7" s="7" t="inlineStr">
        <is>
          <t>Краткое условие задачи</t>
        </is>
      </c>
      <c r="D7" s="7" t="inlineStr">
        <is>
          <t>Определяемый показатель</t>
        </is>
      </c>
      <c r="E7" s="7" t="inlineStr">
        <is>
          <t>Математическая формула</t>
        </is>
      </c>
      <c r="F7" s="7" t="inlineStr">
        <is>
          <t>Результат вычислений</t>
        </is>
      </c>
      <c r="G7" s="7" t="inlineStr">
        <is>
          <t>Ед. изм.</t>
        </is>
      </c>
      <c r="H7" s="7" t="inlineStr">
        <is>
          <t>Ссылка на решение</t>
        </is>
      </c>
      <c r="I7" s="7" t="inlineStr">
        <is>
          <t>Статус</t>
        </is>
      </c>
    </row>
    <row r="8" ht="20" customHeight="1">
      <c r="B8" s="8" t="inlineStr">
        <is>
          <t>Задача 8</t>
        </is>
      </c>
      <c r="C8" s="9" t="inlineStr">
        <is>
          <t>n=2000, λср=0.33·10⁻⁵ ч⁻¹, t=200 ч. Найти Pc(200)</t>
        </is>
      </c>
      <c r="D8" s="8" t="inlineStr">
        <is>
          <t>Pc(200)</t>
        </is>
      </c>
      <c r="E8" s="10" t="inlineStr">
        <is>
          <t>Pc = exp(-n · λср · t)</t>
        </is>
      </c>
      <c r="F8" s="11">
        <f>'Задачи 8-13'!E19</f>
        <v/>
      </c>
      <c r="G8" s="12" t="inlineStr">
        <is>
          <t>—</t>
        </is>
      </c>
      <c r="H8" s="13" t="inlineStr">
        <is>
          <t>Смотреть</t>
        </is>
      </c>
      <c r="I8" s="14" t="inlineStr">
        <is>
          <t>Решено</t>
        </is>
      </c>
    </row>
    <row r="9" ht="20" customHeight="1">
      <c r="B9" s="15" t="inlineStr">
        <is>
          <t>Задача 8 (2)</t>
        </is>
      </c>
      <c r="C9" s="16" t="inlineStr">
        <is>
          <t>Та же задача, средняя наработка системы mtc</t>
        </is>
      </c>
      <c r="D9" s="15" t="inlineStr">
        <is>
          <t>mtc</t>
        </is>
      </c>
      <c r="E9" s="17" t="inlineStr">
        <is>
          <t>mtc = 1 / (n · λср)</t>
        </is>
      </c>
      <c r="F9" s="18">
        <f>'Задачи 8-13'!E21</f>
        <v/>
      </c>
      <c r="G9" s="19" t="inlineStr">
        <is>
          <t>ч</t>
        </is>
      </c>
      <c r="H9" s="20" t="inlineStr">
        <is>
          <t>Смотреть</t>
        </is>
      </c>
      <c r="I9" s="21" t="inlineStr">
        <is>
          <t>Решено</t>
        </is>
      </c>
    </row>
    <row r="10" ht="20" customHeight="1">
      <c r="B10" s="8" t="inlineStr">
        <is>
          <t>Задача 9</t>
        </is>
      </c>
      <c r="C10" s="9" t="inlineStr">
        <is>
          <t>ЭВМ из 200000 элементов, λср=0.2·10⁻⁶ ч⁻¹, сутки (t=24 ч)</t>
        </is>
      </c>
      <c r="D10" s="8" t="inlineStr">
        <is>
          <t>Pc(24)</t>
        </is>
      </c>
      <c r="E10" s="10" t="inlineStr">
        <is>
          <t>Pc = exp(-n · λср · 24)</t>
        </is>
      </c>
      <c r="F10" s="11">
        <f>'Задачи 8-13'!E38</f>
        <v/>
      </c>
      <c r="G10" s="12" t="inlineStr">
        <is>
          <t>—</t>
        </is>
      </c>
      <c r="H10" s="13" t="inlineStr">
        <is>
          <t>Смотреть</t>
        </is>
      </c>
      <c r="I10" s="14" t="inlineStr">
        <is>
          <t>Решено</t>
        </is>
      </c>
    </row>
    <row r="11" ht="20" customHeight="1">
      <c r="B11" s="15" t="inlineStr">
        <is>
          <t>Задача 9 (2)</t>
        </is>
      </c>
      <c r="C11" s="16" t="inlineStr">
        <is>
          <t>Та же задача, средняя наработка ЭВМ mtc</t>
        </is>
      </c>
      <c r="D11" s="15" t="inlineStr">
        <is>
          <t>mtc</t>
        </is>
      </c>
      <c r="E11" s="17" t="inlineStr">
        <is>
          <t>mtc = 1 / (n · λср)</t>
        </is>
      </c>
      <c r="F11" s="18">
        <f>'Задачи 8-13'!E40</f>
        <v/>
      </c>
      <c r="G11" s="19" t="inlineStr">
        <is>
          <t>ч</t>
        </is>
      </c>
      <c r="H11" s="20" t="inlineStr">
        <is>
          <t>Смотреть</t>
        </is>
      </c>
      <c r="I11" s="21" t="inlineStr">
        <is>
          <t>Решено</t>
        </is>
      </c>
    </row>
    <row r="12" ht="20" customHeight="1">
      <c r="B12" s="8" t="inlineStr">
        <is>
          <t>Задача 10</t>
        </is>
      </c>
      <c r="C12" s="9" t="inlineStr">
        <is>
          <t>n=6000, λср=0.16·10⁻⁶ ч⁻¹, t=50 ч. Найти Pc(50)</t>
        </is>
      </c>
      <c r="D12" s="8" t="inlineStr">
        <is>
          <t>Pc(50)</t>
        </is>
      </c>
      <c r="E12" s="10" t="inlineStr">
        <is>
          <t>Pc = exp(-n · λср · t)</t>
        </is>
      </c>
      <c r="F12" s="11">
        <f>'Задачи 8-13'!E57</f>
        <v/>
      </c>
      <c r="G12" s="12" t="inlineStr">
        <is>
          <t>—</t>
        </is>
      </c>
      <c r="H12" s="13" t="inlineStr">
        <is>
          <t>Смотреть</t>
        </is>
      </c>
      <c r="I12" s="14" t="inlineStr">
        <is>
          <t>Решено</t>
        </is>
      </c>
    </row>
    <row r="13" ht="20" customHeight="1">
      <c r="B13" s="15" t="inlineStr">
        <is>
          <t>Задача 10 (2)</t>
        </is>
      </c>
      <c r="C13" s="16" t="inlineStr">
        <is>
          <t>Та же задача, средняя наработка системы mtc</t>
        </is>
      </c>
      <c r="D13" s="15" t="inlineStr">
        <is>
          <t>mtc</t>
        </is>
      </c>
      <c r="E13" s="17" t="inlineStr">
        <is>
          <t>mtc = 1 / (n · λср)</t>
        </is>
      </c>
      <c r="F13" s="18">
        <f>'Задачи 8-13'!E59</f>
        <v/>
      </c>
      <c r="G13" s="19" t="inlineStr">
        <is>
          <t>ч</t>
        </is>
      </c>
      <c r="H13" s="20" t="inlineStr">
        <is>
          <t>Смотреть</t>
        </is>
      </c>
      <c r="I13" s="21" t="inlineStr">
        <is>
          <t>Решено</t>
        </is>
      </c>
    </row>
    <row r="14" ht="20" customHeight="1">
      <c r="B14" s="8" t="inlineStr">
        <is>
          <t>Задача 11</t>
        </is>
      </c>
      <c r="C14" s="9" t="inlineStr">
        <is>
          <t>Прибор из 5 узлов (Pi = {0.98, 0.99, 0.998, 0.975, 0.985})</t>
        </is>
      </c>
      <c r="D14" s="8" t="inlineStr">
        <is>
          <t>Pc (точная)</t>
        </is>
      </c>
      <c r="E14" s="10" t="inlineStr">
        <is>
          <t>Pc = Π Pi</t>
        </is>
      </c>
      <c r="F14" s="11">
        <f>'Задачи 8-13'!E76</f>
        <v/>
      </c>
      <c r="G14" s="12" t="inlineStr">
        <is>
          <t>—</t>
        </is>
      </c>
      <c r="H14" s="13" t="inlineStr">
        <is>
          <t>Смотреть</t>
        </is>
      </c>
      <c r="I14" s="14" t="inlineStr">
        <is>
          <t>Решено</t>
        </is>
      </c>
    </row>
    <row r="15" ht="20" customHeight="1">
      <c r="B15" s="15" t="inlineStr">
        <is>
          <t>Задача 11 (2)</t>
        </is>
      </c>
      <c r="C15" s="16" t="inlineStr">
        <is>
          <t>Та же задача, приближенное значение по формуле (3.18)</t>
        </is>
      </c>
      <c r="D15" s="15" t="inlineStr">
        <is>
          <t>Pc (прибл.)</t>
        </is>
      </c>
      <c r="E15" s="17" t="inlineStr">
        <is>
          <t>Pc ≈ 1 - Σ(1 - Pi)</t>
        </is>
      </c>
      <c r="F15" s="11">
        <f>'Задачи 8-13'!E78</f>
        <v/>
      </c>
      <c r="G15" s="19" t="inlineStr">
        <is>
          <t>—</t>
        </is>
      </c>
      <c r="H15" s="20" t="inlineStr">
        <is>
          <t>Смотреть</t>
        </is>
      </c>
      <c r="I15" s="21" t="inlineStr">
        <is>
          <t>Решено</t>
        </is>
      </c>
    </row>
    <row r="16" ht="20" customHeight="1">
      <c r="B16" s="8" t="inlineStr">
        <is>
          <t>Задача 12</t>
        </is>
      </c>
      <c r="C16" s="9" t="inlineStr">
        <is>
          <t>Система из 5 приборов (mti = {83, 220, 280, 400, 700} ч)</t>
        </is>
      </c>
      <c r="D16" s="8" t="inlineStr">
        <is>
          <t>λc</t>
        </is>
      </c>
      <c r="E16" s="10" t="inlineStr">
        <is>
          <t>λc = Σ(1/mti)</t>
        </is>
      </c>
      <c r="F16" s="22">
        <f>'Задачи 8-13'!F93</f>
        <v/>
      </c>
      <c r="G16" s="12" t="inlineStr">
        <is>
          <t>1/ч</t>
        </is>
      </c>
      <c r="H16" s="13" t="inlineStr">
        <is>
          <t>Смотреть</t>
        </is>
      </c>
      <c r="I16" s="14" t="inlineStr">
        <is>
          <t>Решено</t>
        </is>
      </c>
    </row>
    <row r="17" ht="20" customHeight="1">
      <c r="B17" s="15" t="inlineStr">
        <is>
          <t>Задача 12 (2)</t>
        </is>
      </c>
      <c r="C17" s="16" t="inlineStr">
        <is>
          <t>Та же задача, средняя наработка системы mtc</t>
        </is>
      </c>
      <c r="D17" s="15" t="inlineStr">
        <is>
          <t>mtc</t>
        </is>
      </c>
      <c r="E17" s="17" t="inlineStr">
        <is>
          <t>mtc = 1 / λc</t>
        </is>
      </c>
      <c r="F17" s="18">
        <f>'Задачи 8-13'!E97</f>
        <v/>
      </c>
      <c r="G17" s="19" t="inlineStr">
        <is>
          <t>ч</t>
        </is>
      </c>
      <c r="H17" s="20" t="inlineStr">
        <is>
          <t>Смотреть</t>
        </is>
      </c>
      <c r="I17" s="21" t="inlineStr">
        <is>
          <t>Решено</t>
        </is>
      </c>
    </row>
    <row r="18" ht="20" customHeight="1">
      <c r="B18" s="8" t="inlineStr">
        <is>
          <t>Задача 13</t>
        </is>
      </c>
      <c r="C18" s="9" t="inlineStr">
        <is>
          <t>5 блоков с Pi={0.98..0.985} за 50 ч. Найти mtc прибора</t>
        </is>
      </c>
      <c r="D18" s="8" t="inlineStr">
        <is>
          <t>mtc (точная)</t>
        </is>
      </c>
      <c r="E18" s="10" t="inlineStr">
        <is>
          <t>mtc = -t / ln(Pc)</t>
        </is>
      </c>
      <c r="F18" s="18">
        <f>'Задачи 8-13'!E117</f>
        <v/>
      </c>
      <c r="G18" s="12" t="inlineStr">
        <is>
          <t>ч</t>
        </is>
      </c>
      <c r="H18" s="13" t="inlineStr">
        <is>
          <t>Смотреть</t>
        </is>
      </c>
      <c r="I18" s="14" t="inlineStr">
        <is>
          <t>Решено</t>
        </is>
      </c>
    </row>
    <row r="19" ht="20" customHeight="1">
      <c r="B19" s="15" t="inlineStr">
        <is>
          <t>Задача 13 (2)</t>
        </is>
      </c>
      <c r="C19" s="16" t="inlineStr">
        <is>
          <t>Та же задача, приближенное значение mtc по (3.18)</t>
        </is>
      </c>
      <c r="D19" s="15" t="inlineStr">
        <is>
          <t>mtc (прибл.)</t>
        </is>
      </c>
      <c r="E19" s="17" t="inlineStr">
        <is>
          <t>mtc ≈ t / Σ qi</t>
        </is>
      </c>
      <c r="F19" s="18">
        <f>'Задачи 8-13'!E118</f>
        <v/>
      </c>
      <c r="G19" s="19" t="inlineStr">
        <is>
          <t>ч</t>
        </is>
      </c>
      <c r="H19" s="20" t="inlineStr">
        <is>
          <t>Смотреть</t>
        </is>
      </c>
      <c r="I19" s="21" t="inlineStr">
        <is>
          <t>Решено</t>
        </is>
      </c>
    </row>
    <row r="22" ht="24" customHeight="1">
      <c r="B22" s="6" t="inlineStr">
        <is>
          <t>2. РЕЗУЛЬТАТЫ РЕШЕНИЯ ТИПОВЫХ ЗАДАЧ ИЗ ПРЕЗЕНТАЦИИ (№ 1 – 7)</t>
        </is>
      </c>
    </row>
    <row r="23" ht="24" customHeight="1">
      <c r="B23" s="7" t="inlineStr">
        <is>
          <t>№ задачи</t>
        </is>
      </c>
      <c r="C23" s="7" t="inlineStr">
        <is>
          <t>Тема / Объект расчета</t>
        </is>
      </c>
      <c r="D23" s="7" t="inlineStr">
        <is>
          <t>Ключевые исходные данные</t>
        </is>
      </c>
      <c r="E23" s="7" t="inlineStr">
        <is>
          <t>Искомый параметр</t>
        </is>
      </c>
      <c r="F23" s="7" t="inlineStr">
        <is>
          <t>Результат вычислений</t>
        </is>
      </c>
      <c r="G23" s="7" t="inlineStr">
        <is>
          <t>Ед. изм.</t>
        </is>
      </c>
      <c r="H23" s="7" t="inlineStr">
        <is>
          <t>Сверка со слайдом</t>
        </is>
      </c>
      <c r="I23" s="7" t="inlineStr">
        <is>
          <t>Ссылка</t>
        </is>
      </c>
    </row>
    <row r="24" ht="20" customHeight="1">
      <c r="B24" s="8" t="inlineStr">
        <is>
          <t>Задача 1</t>
        </is>
      </c>
      <c r="C24" s="9" t="inlineStr">
        <is>
          <t>3 устройства (разные λ(t))</t>
        </is>
      </c>
      <c r="D24" s="9" t="inlineStr">
        <is>
          <t>λ1=const, λ2=k2·t, λ3=k3·t^2.6, t=100 ч</t>
        </is>
      </c>
      <c r="E24" s="8" t="inlineStr">
        <is>
          <t>Pc(100)</t>
        </is>
      </c>
      <c r="F24" s="11">
        <f>'Задачи 1-7'!E22</f>
        <v/>
      </c>
      <c r="G24" s="12" t="inlineStr">
        <is>
          <t>—</t>
        </is>
      </c>
      <c r="H24" s="23" t="inlineStr">
        <is>
          <t>Pc=0.8543 (на слайде 0.33)</t>
        </is>
      </c>
      <c r="I24" s="13" t="inlineStr">
        <is>
          <t>Смотреть</t>
        </is>
      </c>
    </row>
    <row r="25" ht="20" customHeight="1">
      <c r="B25" s="15" t="inlineStr">
        <is>
          <t>Задача 2</t>
        </is>
      </c>
      <c r="C25" s="16" t="inlineStr">
        <is>
          <t>3 блока (mt1=160, mt2=320, mt3=600 ч)</t>
        </is>
      </c>
      <c r="D25" s="16" t="inlineStr">
        <is>
          <t>Экспоненциальный закон надежности</t>
        </is>
      </c>
      <c r="E25" s="15" t="inlineStr">
        <is>
          <t>mtc</t>
        </is>
      </c>
      <c r="F25" s="11">
        <f>'Задачи 1-7'!E41</f>
        <v/>
      </c>
      <c r="G25" s="19" t="inlineStr">
        <is>
          <t>ч</t>
        </is>
      </c>
      <c r="H25" s="24" t="inlineStr">
        <is>
          <t>mtc=90.57 ч ≈ 91 ч (Совпадает)</t>
        </is>
      </c>
      <c r="I25" s="20" t="inlineStr">
        <is>
          <t>Смотреть</t>
        </is>
      </c>
    </row>
    <row r="26" ht="20" customHeight="1">
      <c r="B26" s="8" t="inlineStr">
        <is>
          <t>Задача 3</t>
        </is>
      </c>
      <c r="C26" s="9" t="inlineStr">
        <is>
          <t>Система из 12600 элементов</t>
        </is>
      </c>
      <c r="D26" s="9" t="inlineStr">
        <is>
          <t>λср=0.32·10⁻⁶ ч⁻¹, t=50 ч</t>
        </is>
      </c>
      <c r="E26" s="8" t="inlineStr">
        <is>
          <t>Pc(50), mtc</t>
        </is>
      </c>
      <c r="F26" s="11">
        <f>'Задачи 1-7'!E57</f>
        <v/>
      </c>
      <c r="G26" s="12" t="inlineStr">
        <is>
          <t>—</t>
        </is>
      </c>
      <c r="H26" s="23" t="inlineStr">
        <is>
          <t>Pc=0.8174; mtc=248 ч (Совпадает)</t>
        </is>
      </c>
      <c r="I26" s="13" t="inlineStr">
        <is>
          <t>Смотреть</t>
        </is>
      </c>
    </row>
    <row r="27" ht="20" customHeight="1">
      <c r="B27" s="15" t="inlineStr">
        <is>
          <t>Задача 4</t>
        </is>
      </c>
      <c r="C27" s="16" t="inlineStr">
        <is>
          <t>2 устройства (P1=0.95, P2=0.97)</t>
        </is>
      </c>
      <c r="D27" s="16" t="inlineStr">
        <is>
          <t>t=100 ч, экспоненциальный закон</t>
        </is>
      </c>
      <c r="E27" s="15" t="inlineStr">
        <is>
          <t>mtc</t>
        </is>
      </c>
      <c r="F27" s="11">
        <f>'Задачи 1-7'!E77</f>
        <v/>
      </c>
      <c r="G27" s="19" t="inlineStr">
        <is>
          <t>ч</t>
        </is>
      </c>
      <c r="H27" s="24" t="inlineStr">
        <is>
          <t>mtc=1223 ч ≈ 1200 ч (Совпадает)</t>
        </is>
      </c>
      <c r="I27" s="20" t="inlineStr">
        <is>
          <t>Смотреть</t>
        </is>
      </c>
    </row>
    <row r="28" ht="20" customHeight="1">
      <c r="B28" s="8" t="inlineStr">
        <is>
          <t>Задача 5</t>
        </is>
      </c>
      <c r="C28" s="9" t="inlineStr">
        <is>
          <t>Система из 100 элементов (P=0.9997)</t>
        </is>
      </c>
      <c r="D28" s="9" t="inlineStr">
        <is>
          <t>Приближенный расчет по формуле (3.18)</t>
        </is>
      </c>
      <c r="E28" s="8" t="inlineStr">
        <is>
          <t>Pc(t)</t>
        </is>
      </c>
      <c r="F28" s="11">
        <f>'Задачи 1-7'!E92</f>
        <v/>
      </c>
      <c r="G28" s="12" t="inlineStr">
        <is>
          <t>—</t>
        </is>
      </c>
      <c r="H28" s="23" t="inlineStr">
        <is>
          <t>Pc=0.9700 (Совпадает)</t>
        </is>
      </c>
      <c r="I28" s="13" t="inlineStr">
        <is>
          <t>Смотреть</t>
        </is>
      </c>
    </row>
    <row r="29" ht="20" customHeight="1">
      <c r="B29" s="15" t="inlineStr">
        <is>
          <t>Задача 6</t>
        </is>
      </c>
      <c r="C29" s="16" t="inlineStr">
        <is>
          <t>Определение Pi(t) по Pc=0.95 (n=120)</t>
        </is>
      </c>
      <c r="D29" s="16" t="inlineStr">
        <is>
          <t>Приближенный расчет по формуле (3.18)</t>
        </is>
      </c>
      <c r="E29" s="15" t="inlineStr">
        <is>
          <t>Pi(t)</t>
        </is>
      </c>
      <c r="F29" s="11">
        <f>'Задачи 1-7'!E108</f>
        <v/>
      </c>
      <c r="G29" s="19" t="inlineStr">
        <is>
          <t>—</t>
        </is>
      </c>
      <c r="H29" s="24" t="inlineStr">
        <is>
          <t>Pi=0.9996 (Совпадает)</t>
        </is>
      </c>
      <c r="I29" s="20" t="inlineStr">
        <is>
          <t>Смотреть</t>
        </is>
      </c>
    </row>
    <row r="30" ht="20" customHeight="1">
      <c r="B30" s="8" t="inlineStr">
        <is>
          <t>Задача 7</t>
        </is>
      </c>
      <c r="C30" s="9" t="inlineStr">
        <is>
          <t>Система из 12600 элементов</t>
        </is>
      </c>
      <c r="D30" s="9" t="inlineStr">
        <is>
          <t>λср=0.32·10⁻⁶ ч⁻¹, t=50 ч</t>
        </is>
      </c>
      <c r="E30" s="8" t="inlineStr">
        <is>
          <t>Pc(50)</t>
        </is>
      </c>
      <c r="F30" s="11">
        <f>'Задачи 1-7'!E125</f>
        <v/>
      </c>
      <c r="G30" s="12" t="inlineStr">
        <is>
          <t>—</t>
        </is>
      </c>
      <c r="H30" s="23" t="inlineStr">
        <is>
          <t>Pc=0.8174 ≈ 0.82 (Совпадает)</t>
        </is>
      </c>
      <c r="I30" s="13" t="inlineStr">
        <is>
          <t>Смотреть</t>
        </is>
      </c>
    </row>
  </sheetData>
  <mergeCells count="3">
    <mergeCell ref="B3:H3"/>
    <mergeCell ref="B2:H2"/>
    <mergeCell ref="B4:H4"/>
  </mergeCells>
  <hyperlinks>
    <hyperlink xmlns:r="http://schemas.openxmlformats.org/officeDocument/2006/relationships" ref="H8" r:id="rId1"/>
    <hyperlink xmlns:r="http://schemas.openxmlformats.org/officeDocument/2006/relationships" ref="H9" r:id="rId2"/>
    <hyperlink xmlns:r="http://schemas.openxmlformats.org/officeDocument/2006/relationships" ref="H10" r:id="rId3"/>
    <hyperlink xmlns:r="http://schemas.openxmlformats.org/officeDocument/2006/relationships" ref="H11" r:id="rId4"/>
    <hyperlink xmlns:r="http://schemas.openxmlformats.org/officeDocument/2006/relationships" ref="H12" r:id="rId5"/>
    <hyperlink xmlns:r="http://schemas.openxmlformats.org/officeDocument/2006/relationships" ref="H13" r:id="rId6"/>
    <hyperlink xmlns:r="http://schemas.openxmlformats.org/officeDocument/2006/relationships" ref="H14" r:id="rId7"/>
    <hyperlink xmlns:r="http://schemas.openxmlformats.org/officeDocument/2006/relationships" ref="H15" r:id="rId8"/>
    <hyperlink xmlns:r="http://schemas.openxmlformats.org/officeDocument/2006/relationships" ref="H16" r:id="rId9"/>
    <hyperlink xmlns:r="http://schemas.openxmlformats.org/officeDocument/2006/relationships" ref="H17" r:id="rId10"/>
    <hyperlink xmlns:r="http://schemas.openxmlformats.org/officeDocument/2006/relationships" ref="H18" r:id="rId11"/>
    <hyperlink xmlns:r="http://schemas.openxmlformats.org/officeDocument/2006/relationships" ref="H19" r:id="rId12"/>
    <hyperlink xmlns:r="http://schemas.openxmlformats.org/officeDocument/2006/relationships" ref="I24" r:id="rId13"/>
    <hyperlink xmlns:r="http://schemas.openxmlformats.org/officeDocument/2006/relationships" ref="I25" r:id="rId14"/>
    <hyperlink xmlns:r="http://schemas.openxmlformats.org/officeDocument/2006/relationships" ref="I26" r:id="rId15"/>
    <hyperlink xmlns:r="http://schemas.openxmlformats.org/officeDocument/2006/relationships" ref="I27" r:id="rId16"/>
    <hyperlink xmlns:r="http://schemas.openxmlformats.org/officeDocument/2006/relationships" ref="I28" r:id="rId17"/>
    <hyperlink xmlns:r="http://schemas.openxmlformats.org/officeDocument/2006/relationships" ref="I29" r:id="rId18"/>
    <hyperlink xmlns:r="http://schemas.openxmlformats.org/officeDocument/2006/relationships" ref="I30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1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  <col width="30" customWidth="1" min="4" max="4"/>
    <col width="22" customWidth="1" min="5" max="5"/>
    <col width="12" customWidth="1" min="6" max="6"/>
    <col width="44" customWidth="1" min="7" max="7"/>
  </cols>
  <sheetData>
    <row r="2" ht="26" customHeight="1">
      <c r="B2" s="1" t="inlineStr">
        <is>
          <t>ЗАДАЧИ ДЛЯ САМОСТОЯТЕЛЬНОГО РЕШЕНИЯ (№ 8 – 13)</t>
        </is>
      </c>
      <c r="C2" s="2" t="n"/>
      <c r="D2" s="2" t="n"/>
      <c r="E2" s="2" t="n"/>
      <c r="F2" s="2" t="n"/>
      <c r="G2" s="2" t="n"/>
    </row>
    <row r="3" ht="20" customHeight="1">
      <c r="B3" s="3" t="inlineStr">
        <is>
          <t>Практическая работа № 3. Последовательное соединение элементов в систему</t>
        </is>
      </c>
      <c r="C3" s="4" t="n"/>
      <c r="D3" s="4" t="n"/>
      <c r="E3" s="4" t="n"/>
      <c r="F3" s="4" t="n"/>
      <c r="G3" s="4" t="n"/>
    </row>
    <row r="4" ht="18" customHeight="1">
      <c r="B4" s="5" t="inlineStr">
        <is>
          <t>Все расчеты выполнены формулами Excel со ссылками на ячейки исходных данных</t>
        </is>
      </c>
      <c r="C4" s="4" t="n"/>
      <c r="D4" s="4" t="n"/>
      <c r="E4" s="4" t="n"/>
      <c r="F4" s="4" t="n"/>
      <c r="G4" s="4" t="n"/>
    </row>
    <row r="6" ht="22" customHeight="1">
      <c r="B6" s="25" t="inlineStr">
        <is>
          <t>ЗАДАЧА № 8. Аппаратура связи из 2000 элементов (t = 200 ч)</t>
        </is>
      </c>
      <c r="C6" s="2" t="n"/>
      <c r="D6" s="2" t="n"/>
      <c r="E6" s="2" t="n"/>
      <c r="F6" s="2" t="n"/>
      <c r="G6" s="2" t="n"/>
    </row>
    <row r="7" ht="16" customHeight="1">
      <c r="B7" s="26" t="inlineStr">
        <is>
          <t>Условие: Аппаратура связи состоит из 2000 элементов, средняя интенсивность отказов которых λср = 0,33∙10⁻⁵ ч⁻¹. Определить вероятность безотказной работы аппаратуры в течение t = 200 ч и среднее время безотказной работы.</t>
        </is>
      </c>
      <c r="C7" s="27" t="n"/>
      <c r="D7" s="27" t="n"/>
      <c r="E7" s="27" t="n"/>
      <c r="F7" s="27" t="n"/>
      <c r="G7" s="27" t="n"/>
    </row>
    <row r="8" ht="16" customHeight="1">
      <c r="B8" s="27" t="n"/>
      <c r="C8" s="27" t="n"/>
      <c r="D8" s="27" t="n"/>
      <c r="E8" s="27" t="n"/>
      <c r="F8" s="27" t="n"/>
      <c r="G8" s="27" t="n"/>
    </row>
    <row r="9" ht="18" customHeight="1">
      <c r="B9" s="6" t="inlineStr">
        <is>
          <t>Таблица 1. Исходные данные задачи</t>
        </is>
      </c>
    </row>
    <row r="10" ht="20" customHeight="1">
      <c r="B10" s="28" t="inlineStr">
        <is>
          <t>Наименование параметра</t>
        </is>
      </c>
      <c r="C10" s="28" t="inlineStr">
        <is>
          <t>Обозначение</t>
        </is>
      </c>
      <c r="D10" s="28" t="inlineStr">
        <is>
          <t>Значение</t>
        </is>
      </c>
      <c r="E10" s="28" t="inlineStr">
        <is>
          <t>Ед. изм.</t>
        </is>
      </c>
      <c r="F10" s="28" t="inlineStr">
        <is>
          <t>Пояснение</t>
        </is>
      </c>
    </row>
    <row r="11" ht="19" customHeight="1">
      <c r="B11" s="29" t="inlineStr">
        <is>
          <t>Число элементов аппаратуры</t>
        </is>
      </c>
      <c r="C11" s="30" t="inlineStr">
        <is>
          <t>n</t>
        </is>
      </c>
      <c r="D11" s="31" t="n">
        <v>2000</v>
      </c>
      <c r="E11" s="32" t="inlineStr">
        <is>
          <t>шт.</t>
        </is>
      </c>
      <c r="F11" s="33" t="inlineStr">
        <is>
          <t>Последовательное соединение узлов</t>
        </is>
      </c>
    </row>
    <row r="12" ht="19" customHeight="1">
      <c r="B12" s="29" t="inlineStr">
        <is>
          <t>Средняя интенсивность отказов элемента</t>
        </is>
      </c>
      <c r="C12" s="30" t="inlineStr">
        <is>
          <t>l_elem</t>
        </is>
      </c>
      <c r="D12" s="34" t="n">
        <v>3.3e-06</v>
      </c>
      <c r="E12" s="32" t="inlineStr">
        <is>
          <t>1/ч</t>
        </is>
      </c>
      <c r="F12" s="33" t="inlineStr">
        <is>
          <t>λср = 0.33·10⁻⁵ ч⁻¹ = 3.3·10⁻⁶ ч⁻¹</t>
        </is>
      </c>
    </row>
    <row r="13" ht="19" customHeight="1">
      <c r="B13" s="29" t="inlineStr">
        <is>
          <t>Время наработки</t>
        </is>
      </c>
      <c r="C13" s="30" t="inlineStr">
        <is>
          <t>t</t>
        </is>
      </c>
      <c r="D13" s="31" t="n">
        <v>200</v>
      </c>
      <c r="E13" s="32" t="inlineStr">
        <is>
          <t>ч</t>
        </is>
      </c>
      <c r="F13" s="33" t="inlineStr">
        <is>
          <t>t = 200 ч</t>
        </is>
      </c>
    </row>
    <row r="15" ht="18" customHeight="1">
      <c r="B15" s="6" t="inlineStr">
        <is>
          <t>Таблица 2. Расчет показателей надежности</t>
        </is>
      </c>
    </row>
    <row r="16" ht="20" customHeight="1">
      <c r="B16" s="35" t="inlineStr">
        <is>
          <t>Определяемый показатель</t>
        </is>
      </c>
      <c r="C16" s="35" t="inlineStr">
        <is>
          <t>Обозначение</t>
        </is>
      </c>
      <c r="D16" s="35" t="inlineStr">
        <is>
          <t>Математическая формула</t>
        </is>
      </c>
      <c r="E16" s="35" t="inlineStr">
        <is>
          <t>Значение (Excel)</t>
        </is>
      </c>
      <c r="F16" s="35" t="inlineStr">
        <is>
          <t>Ед. изм.</t>
        </is>
      </c>
      <c r="G16" s="35" t="inlineStr">
        <is>
          <t>Пояснение</t>
        </is>
      </c>
    </row>
    <row r="17" ht="20" customHeight="1">
      <c r="B17" s="29" t="inlineStr">
        <is>
          <t>Интенсивность отказов системы</t>
        </is>
      </c>
      <c r="C17" s="30" t="inlineStr">
        <is>
          <t>lc</t>
        </is>
      </c>
      <c r="D17" s="36" t="inlineStr">
        <is>
          <t>n · λср</t>
        </is>
      </c>
      <c r="E17" s="22">
        <f>D11*D12</f>
        <v/>
      </c>
      <c r="F17" s="32" t="inlineStr">
        <is>
          <t>1/ч</t>
        </is>
      </c>
      <c r="G17" s="33" t="inlineStr">
        <is>
          <t>λc = 2000 · 0.33·10⁻⁵ = 0.0066 ч⁻¹</t>
        </is>
      </c>
    </row>
    <row r="18" ht="20" customHeight="1">
      <c r="B18" s="29" t="inlineStr">
        <is>
          <t>Показатель экспоненты (λc · t)</t>
        </is>
      </c>
      <c r="C18" s="30" t="inlineStr">
        <is>
          <t>lct</t>
        </is>
      </c>
      <c r="D18" s="36" t="inlineStr">
        <is>
          <t>λc · t</t>
        </is>
      </c>
      <c r="E18" s="11">
        <f>E17*D13</f>
        <v/>
      </c>
      <c r="F18" s="32" t="inlineStr">
        <is>
          <t>—</t>
        </is>
      </c>
      <c r="G18" s="33" t="inlineStr">
        <is>
          <t>λc · t = 0.0066 · 200 = 1.3200</t>
        </is>
      </c>
    </row>
    <row r="19" ht="20" customHeight="1">
      <c r="B19" s="29" t="inlineStr">
        <is>
          <t>Вероятность безотказной работы</t>
        </is>
      </c>
      <c r="C19" s="30" t="inlineStr">
        <is>
          <t>Pc_200</t>
        </is>
      </c>
      <c r="D19" s="36" t="inlineStr">
        <is>
          <t>EXP(-λc · t)</t>
        </is>
      </c>
      <c r="E19" s="11">
        <f>EXP(-E18)</f>
        <v/>
      </c>
      <c r="F19" s="32" t="inlineStr">
        <is>
          <t>—</t>
        </is>
      </c>
      <c r="G19" s="33" t="inlineStr">
        <is>
          <t>Pc(200) = exp(-1.32) ≈ 0.2671 (26.71%)</t>
        </is>
      </c>
    </row>
    <row r="20" ht="20" customHeight="1">
      <c r="B20" s="29" t="inlineStr">
        <is>
          <t>Вероятность отказа аппаратуры</t>
        </is>
      </c>
      <c r="C20" s="30" t="inlineStr">
        <is>
          <t>qc_200</t>
        </is>
      </c>
      <c r="D20" s="36" t="inlineStr">
        <is>
          <t>1 - Pc(t)</t>
        </is>
      </c>
      <c r="E20" s="11">
        <f>1-E19</f>
        <v/>
      </c>
      <c r="F20" s="32" t="inlineStr">
        <is>
          <t>—</t>
        </is>
      </c>
      <c r="G20" s="33" t="inlineStr">
        <is>
          <t>qc(200) = 1 - 0.2671 = 0.7329 (73.29%)</t>
        </is>
      </c>
    </row>
    <row r="21" ht="20" customHeight="1">
      <c r="B21" s="29" t="inlineStr">
        <is>
          <t>Среднее время безотказной работы</t>
        </is>
      </c>
      <c r="C21" s="30" t="inlineStr">
        <is>
          <t>mtc</t>
        </is>
      </c>
      <c r="D21" s="36" t="inlineStr">
        <is>
          <t>1 / λc</t>
        </is>
      </c>
      <c r="E21" s="18">
        <f>1/E17</f>
        <v/>
      </c>
      <c r="F21" s="32" t="inlineStr">
        <is>
          <t>ч</t>
        </is>
      </c>
      <c r="G21" s="33" t="inlineStr">
        <is>
          <t>mtc = 1 / 0.0066 ≈ 151.52 ч</t>
        </is>
      </c>
    </row>
    <row r="22" ht="22" customHeight="1">
      <c r="B22" s="37" t="inlineStr">
        <is>
          <t>ВЫВОД / ОТВЕТ: Результаты: интенсивность отказов λc = 0,0066 1/ч; вероятность безотказной работы Pc(200) = 0,2671 (26,71%); средняя наработка mtc = 151,52 ч.</t>
        </is>
      </c>
      <c r="C22" s="38" t="n"/>
      <c r="D22" s="38" t="n"/>
      <c r="E22" s="38" t="n"/>
      <c r="F22" s="38" t="n"/>
      <c r="G22" s="38" t="n"/>
    </row>
    <row r="25" ht="22" customHeight="1">
      <c r="B25" s="25" t="inlineStr">
        <is>
          <t>ЗАДАЧА № 9. Невосстанавливаемая ЭВМ из 200000 элементов (t = 24 ч)</t>
        </is>
      </c>
      <c r="C25" s="2" t="n"/>
      <c r="D25" s="2" t="n"/>
      <c r="E25" s="2" t="n"/>
      <c r="F25" s="2" t="n"/>
      <c r="G25" s="2" t="n"/>
    </row>
    <row r="26" ht="16" customHeight="1">
      <c r="B26" s="26" t="inlineStr">
        <is>
          <t>Условие: Невосстанавливаемая в процессе работы электронная машина состоит из 200000 элементов, средняя интенсивность отказов которых λср = 0,2∙10⁻⁶ ч⁻¹. Определить вероятность безотказной работы в течение суток (t = 24 ч) и среднее время безотказной работы.</t>
        </is>
      </c>
      <c r="C26" s="27" t="n"/>
      <c r="D26" s="27" t="n"/>
      <c r="E26" s="27" t="n"/>
      <c r="F26" s="27" t="n"/>
      <c r="G26" s="27" t="n"/>
    </row>
    <row r="27" ht="16" customHeight="1">
      <c r="B27" s="27" t="n"/>
      <c r="C27" s="27" t="n"/>
      <c r="D27" s="27" t="n"/>
      <c r="E27" s="27" t="n"/>
      <c r="F27" s="27" t="n"/>
      <c r="G27" s="27" t="n"/>
    </row>
    <row r="28" ht="18" customHeight="1">
      <c r="B28" s="6" t="inlineStr">
        <is>
          <t>Таблица 1. Исходные данные задачи</t>
        </is>
      </c>
    </row>
    <row r="29" ht="20" customHeight="1">
      <c r="B29" s="28" t="inlineStr">
        <is>
          <t>Наименование параметра</t>
        </is>
      </c>
      <c r="C29" s="28" t="inlineStr">
        <is>
          <t>Обозначение</t>
        </is>
      </c>
      <c r="D29" s="28" t="inlineStr">
        <is>
          <t>Значение</t>
        </is>
      </c>
      <c r="E29" s="28" t="inlineStr">
        <is>
          <t>Ед. изм.</t>
        </is>
      </c>
      <c r="F29" s="28" t="inlineStr">
        <is>
          <t>Пояснение</t>
        </is>
      </c>
    </row>
    <row r="30" ht="19" customHeight="1">
      <c r="B30" s="29" t="inlineStr">
        <is>
          <t>Число элементов ЭВМ</t>
        </is>
      </c>
      <c r="C30" s="30" t="inlineStr">
        <is>
          <t>n</t>
        </is>
      </c>
      <c r="D30" s="31" t="n">
        <v>200000</v>
      </c>
      <c r="E30" s="32" t="inlineStr">
        <is>
          <t>шт.</t>
        </is>
      </c>
      <c r="F30" s="33" t="inlineStr">
        <is>
          <t>Последовательная структура</t>
        </is>
      </c>
    </row>
    <row r="31" ht="19" customHeight="1">
      <c r="B31" s="29" t="inlineStr">
        <is>
          <t>Интенсивность отказов элемента</t>
        </is>
      </c>
      <c r="C31" s="30" t="inlineStr">
        <is>
          <t>l_elem</t>
        </is>
      </c>
      <c r="D31" s="34" t="n">
        <v>2e-07</v>
      </c>
      <c r="E31" s="32" t="inlineStr">
        <is>
          <t>1/ч</t>
        </is>
      </c>
      <c r="F31" s="33" t="inlineStr">
        <is>
          <t>λср = 0.2·10⁻⁶ ч⁻¹</t>
        </is>
      </c>
    </row>
    <row r="32" ht="19" customHeight="1">
      <c r="B32" s="29" t="inlineStr">
        <is>
          <t>Время непрерывной работы (сутки)</t>
        </is>
      </c>
      <c r="C32" s="30" t="inlineStr">
        <is>
          <t>t</t>
        </is>
      </c>
      <c r="D32" s="31" t="n">
        <v>24</v>
      </c>
      <c r="E32" s="32" t="inlineStr">
        <is>
          <t>ч</t>
        </is>
      </c>
      <c r="F32" s="33" t="inlineStr">
        <is>
          <t>Суточный интервал t = 24 ч</t>
        </is>
      </c>
    </row>
    <row r="34" ht="18" customHeight="1">
      <c r="B34" s="6" t="inlineStr">
        <is>
          <t>Таблица 2. Расчет показателей надежности</t>
        </is>
      </c>
    </row>
    <row r="35" ht="20" customHeight="1">
      <c r="B35" s="35" t="inlineStr">
        <is>
          <t>Определяемый показатель</t>
        </is>
      </c>
      <c r="C35" s="35" t="inlineStr">
        <is>
          <t>Обозначение</t>
        </is>
      </c>
      <c r="D35" s="35" t="inlineStr">
        <is>
          <t>Математическая формула</t>
        </is>
      </c>
      <c r="E35" s="35" t="inlineStr">
        <is>
          <t>Значение (Excel)</t>
        </is>
      </c>
      <c r="F35" s="35" t="inlineStr">
        <is>
          <t>Ед. изм.</t>
        </is>
      </c>
      <c r="G35" s="35" t="inlineStr">
        <is>
          <t>Пояснение</t>
        </is>
      </c>
    </row>
    <row r="36" ht="20" customHeight="1">
      <c r="B36" s="29" t="inlineStr">
        <is>
          <t>Интенсивность отказов машины</t>
        </is>
      </c>
      <c r="C36" s="30" t="inlineStr">
        <is>
          <t>lc</t>
        </is>
      </c>
      <c r="D36" s="36" t="inlineStr">
        <is>
          <t>n · λср</t>
        </is>
      </c>
      <c r="E36" s="22">
        <f>D30*D31</f>
        <v/>
      </c>
      <c r="F36" s="32" t="inlineStr">
        <is>
          <t>1/ч</t>
        </is>
      </c>
      <c r="G36" s="33" t="inlineStr">
        <is>
          <t>λc = 200000 · 0.2·10⁻⁶ = 0.04 ч⁻¹</t>
        </is>
      </c>
    </row>
    <row r="37" ht="20" customHeight="1">
      <c r="B37" s="29" t="inlineStr">
        <is>
          <t>Показатель степени (λc · t)</t>
        </is>
      </c>
      <c r="C37" s="30" t="inlineStr">
        <is>
          <t>lct</t>
        </is>
      </c>
      <c r="D37" s="36" t="inlineStr">
        <is>
          <t>λc · t</t>
        </is>
      </c>
      <c r="E37" s="11">
        <f>E36*D32</f>
        <v/>
      </c>
      <c r="F37" s="32" t="inlineStr">
        <is>
          <t>—</t>
        </is>
      </c>
      <c r="G37" s="33" t="inlineStr">
        <is>
          <t>λc · t = 0.04 · 24 = 0.9600</t>
        </is>
      </c>
    </row>
    <row r="38" ht="20" customHeight="1">
      <c r="B38" s="29" t="inlineStr">
        <is>
          <t>Вероятность безотказной работы</t>
        </is>
      </c>
      <c r="C38" s="30" t="inlineStr">
        <is>
          <t>Pc_24</t>
        </is>
      </c>
      <c r="D38" s="36" t="inlineStr">
        <is>
          <t>EXP(-λc · t)</t>
        </is>
      </c>
      <c r="E38" s="11">
        <f>EXP(-E37)</f>
        <v/>
      </c>
      <c r="F38" s="32" t="inlineStr">
        <is>
          <t>—</t>
        </is>
      </c>
      <c r="G38" s="33" t="inlineStr">
        <is>
          <t>Pc(24) = exp(-0.96) ≈ 0.3829 (38.29%)</t>
        </is>
      </c>
    </row>
    <row r="39" ht="20" customHeight="1">
      <c r="B39" s="29" t="inlineStr">
        <is>
          <t>Вероятность отказа машины</t>
        </is>
      </c>
      <c r="C39" s="30" t="inlineStr">
        <is>
          <t>qc_24</t>
        </is>
      </c>
      <c r="D39" s="36" t="inlineStr">
        <is>
          <t>1 - Pc(t)</t>
        </is>
      </c>
      <c r="E39" s="11">
        <f>1-E38</f>
        <v/>
      </c>
      <c r="F39" s="32" t="inlineStr">
        <is>
          <t>—</t>
        </is>
      </c>
      <c r="G39" s="33" t="inlineStr">
        <is>
          <t>qc(24) = 1 - 0.3829 = 0.6171 (61.71%)</t>
        </is>
      </c>
    </row>
    <row r="40" ht="20" customHeight="1">
      <c r="B40" s="29" t="inlineStr">
        <is>
          <t>Среднее время безотказной работы</t>
        </is>
      </c>
      <c r="C40" s="30" t="inlineStr">
        <is>
          <t>mtc</t>
        </is>
      </c>
      <c r="D40" s="36" t="inlineStr">
        <is>
          <t>1 / λc</t>
        </is>
      </c>
      <c r="E40" s="18">
        <f>1/E36</f>
        <v/>
      </c>
      <c r="F40" s="32" t="inlineStr">
        <is>
          <t>ч</t>
        </is>
      </c>
      <c r="G40" s="33" t="inlineStr">
        <is>
          <t>mtc = 1 / 0.04 = 25.00 ч</t>
        </is>
      </c>
    </row>
    <row r="41" ht="22" customHeight="1">
      <c r="B41" s="37" t="inlineStr">
        <is>
          <t>ВЫВОД / ОТВЕТ: Результаты: суточная интенсивность отказов λc = 0,04 1/ч; вероятность безотказной работы за сутки Pc(24) = 0,3829 (38,29%); средняя наработка mtc = 25,00 ч.</t>
        </is>
      </c>
      <c r="C41" s="38" t="n"/>
      <c r="D41" s="38" t="n"/>
      <c r="E41" s="38" t="n"/>
      <c r="F41" s="38" t="n"/>
      <c r="G41" s="38" t="n"/>
    </row>
    <row r="44" ht="22" customHeight="1">
      <c r="B44" s="25" t="inlineStr">
        <is>
          <t>ЗАДАЧА № 10. Система управления из 6000 элементов (t = 50 ч)</t>
        </is>
      </c>
      <c r="C44" s="2" t="n"/>
      <c r="D44" s="2" t="n"/>
      <c r="E44" s="2" t="n"/>
      <c r="F44" s="2" t="n"/>
      <c r="G44" s="2" t="n"/>
    </row>
    <row r="45" ht="16" customHeight="1">
      <c r="B45" s="26" t="inlineStr">
        <is>
          <t>Условие: Система управления состоит из 6000 элементов, средняя интенсивность отказов которых λср = 0,16∙10⁻⁶ ч⁻¹. Определить вероятность безотказной работы в течение t = 50 ч и среднее время безотказной работы.</t>
        </is>
      </c>
      <c r="C45" s="27" t="n"/>
      <c r="D45" s="27" t="n"/>
      <c r="E45" s="27" t="n"/>
      <c r="F45" s="27" t="n"/>
      <c r="G45" s="27" t="n"/>
    </row>
    <row r="46" ht="16" customHeight="1">
      <c r="B46" s="27" t="n"/>
      <c r="C46" s="27" t="n"/>
      <c r="D46" s="27" t="n"/>
      <c r="E46" s="27" t="n"/>
      <c r="F46" s="27" t="n"/>
      <c r="G46" s="27" t="n"/>
    </row>
    <row r="47" ht="18" customHeight="1">
      <c r="B47" s="6" t="inlineStr">
        <is>
          <t>Таблица 1. Исходные данные задачи</t>
        </is>
      </c>
    </row>
    <row r="48" ht="20" customHeight="1">
      <c r="B48" s="28" t="inlineStr">
        <is>
          <t>Наименование параметра</t>
        </is>
      </c>
      <c r="C48" s="28" t="inlineStr">
        <is>
          <t>Обозначение</t>
        </is>
      </c>
      <c r="D48" s="28" t="inlineStr">
        <is>
          <t>Значение</t>
        </is>
      </c>
      <c r="E48" s="28" t="inlineStr">
        <is>
          <t>Ед. изм.</t>
        </is>
      </c>
      <c r="F48" s="28" t="inlineStr">
        <is>
          <t>Пояснение</t>
        </is>
      </c>
    </row>
    <row r="49" ht="19" customHeight="1">
      <c r="B49" s="29" t="inlineStr">
        <is>
          <t>Число элементов системы</t>
        </is>
      </c>
      <c r="C49" s="30" t="inlineStr">
        <is>
          <t>n</t>
        </is>
      </c>
      <c r="D49" s="31" t="n">
        <v>6000</v>
      </c>
      <c r="E49" s="32" t="inlineStr">
        <is>
          <t>шт.</t>
        </is>
      </c>
      <c r="F49" s="33" t="inlineStr">
        <is>
          <t>Последовательное соединение</t>
        </is>
      </c>
    </row>
    <row r="50" ht="19" customHeight="1">
      <c r="B50" s="29" t="inlineStr">
        <is>
          <t>Интенсивность отказов элемента</t>
        </is>
      </c>
      <c r="C50" s="30" t="inlineStr">
        <is>
          <t>l_elem</t>
        </is>
      </c>
      <c r="D50" s="34" t="n">
        <v>1.6e-07</v>
      </c>
      <c r="E50" s="32" t="inlineStr">
        <is>
          <t>1/ч</t>
        </is>
      </c>
      <c r="F50" s="33" t="inlineStr">
        <is>
          <t>λср = 0.16·10⁻⁶ ч⁻¹</t>
        </is>
      </c>
    </row>
    <row r="51" ht="19" customHeight="1">
      <c r="B51" s="29" t="inlineStr">
        <is>
          <t>Время наработки</t>
        </is>
      </c>
      <c r="C51" s="30" t="inlineStr">
        <is>
          <t>t</t>
        </is>
      </c>
      <c r="D51" s="31" t="n">
        <v>50</v>
      </c>
      <c r="E51" s="32" t="inlineStr">
        <is>
          <t>ч</t>
        </is>
      </c>
      <c r="F51" s="33" t="inlineStr">
        <is>
          <t>t = 50 ч</t>
        </is>
      </c>
    </row>
    <row r="53" ht="18" customHeight="1">
      <c r="B53" s="6" t="inlineStr">
        <is>
          <t>Таблица 2. Расчет показателей надежности</t>
        </is>
      </c>
    </row>
    <row r="54" ht="20" customHeight="1">
      <c r="B54" s="35" t="inlineStr">
        <is>
          <t>Определяемый показатель</t>
        </is>
      </c>
      <c r="C54" s="35" t="inlineStr">
        <is>
          <t>Обозначение</t>
        </is>
      </c>
      <c r="D54" s="35" t="inlineStr">
        <is>
          <t>Математическая формула</t>
        </is>
      </c>
      <c r="E54" s="35" t="inlineStr">
        <is>
          <t>Значение (Excel)</t>
        </is>
      </c>
      <c r="F54" s="35" t="inlineStr">
        <is>
          <t>Ед. изм.</t>
        </is>
      </c>
      <c r="G54" s="35" t="inlineStr">
        <is>
          <t>Пояснение</t>
        </is>
      </c>
    </row>
    <row r="55" ht="20" customHeight="1">
      <c r="B55" s="29" t="inlineStr">
        <is>
          <t>Интенсивность отказов системы</t>
        </is>
      </c>
      <c r="C55" s="30" t="inlineStr">
        <is>
          <t>lc</t>
        </is>
      </c>
      <c r="D55" s="36" t="inlineStr">
        <is>
          <t>n · λср</t>
        </is>
      </c>
      <c r="E55" s="22">
        <f>D49*D50</f>
        <v/>
      </c>
      <c r="F55" s="32" t="inlineStr">
        <is>
          <t>1/ч</t>
        </is>
      </c>
      <c r="G55" s="33" t="inlineStr">
        <is>
          <t>λc = 6000 · 0.16·10⁻⁶ = 0.00096 ч⁻¹</t>
        </is>
      </c>
    </row>
    <row r="56" ht="20" customHeight="1">
      <c r="B56" s="29" t="inlineStr">
        <is>
          <t>Показатель степени (λc · t)</t>
        </is>
      </c>
      <c r="C56" s="30" t="inlineStr">
        <is>
          <t>lct</t>
        </is>
      </c>
      <c r="D56" s="36" t="inlineStr">
        <is>
          <t>λc · t</t>
        </is>
      </c>
      <c r="E56" s="11">
        <f>E55*D51</f>
        <v/>
      </c>
      <c r="F56" s="32" t="inlineStr">
        <is>
          <t>—</t>
        </is>
      </c>
      <c r="G56" s="33" t="inlineStr">
        <is>
          <t>λc · t = 0.00096 · 50 = 0.0480</t>
        </is>
      </c>
    </row>
    <row r="57" ht="20" customHeight="1">
      <c r="B57" s="29" t="inlineStr">
        <is>
          <t>Вероятность безотказной работы</t>
        </is>
      </c>
      <c r="C57" s="30" t="inlineStr">
        <is>
          <t>Pc_50</t>
        </is>
      </c>
      <c r="D57" s="36" t="inlineStr">
        <is>
          <t>EXP(-λc · t)</t>
        </is>
      </c>
      <c r="E57" s="11">
        <f>EXP(-E56)</f>
        <v/>
      </c>
      <c r="F57" s="32" t="inlineStr">
        <is>
          <t>—</t>
        </is>
      </c>
      <c r="G57" s="33" t="inlineStr">
        <is>
          <t>Pc(50) = exp(-0.048) ≈ 0.9531 (95.31%)</t>
        </is>
      </c>
    </row>
    <row r="58" ht="20" customHeight="1">
      <c r="B58" s="29" t="inlineStr">
        <is>
          <t>Вероятность отказа системы</t>
        </is>
      </c>
      <c r="C58" s="30" t="inlineStr">
        <is>
          <t>qc_50</t>
        </is>
      </c>
      <c r="D58" s="36" t="inlineStr">
        <is>
          <t>1 - Pc(t)</t>
        </is>
      </c>
      <c r="E58" s="11">
        <f>1-E57</f>
        <v/>
      </c>
      <c r="F58" s="32" t="inlineStr">
        <is>
          <t>—</t>
        </is>
      </c>
      <c r="G58" s="33" t="inlineStr">
        <is>
          <t>qc(50) = 1 - 0.9531 = 0.0469 (4.69%)</t>
        </is>
      </c>
    </row>
    <row r="59" ht="20" customHeight="1">
      <c r="B59" s="29" t="inlineStr">
        <is>
          <t>Среднее время безотказной работы</t>
        </is>
      </c>
      <c r="C59" s="30" t="inlineStr">
        <is>
          <t>mtc</t>
        </is>
      </c>
      <c r="D59" s="36" t="inlineStr">
        <is>
          <t>1 / λc</t>
        </is>
      </c>
      <c r="E59" s="18">
        <f>1/E55</f>
        <v/>
      </c>
      <c r="F59" s="32" t="inlineStr">
        <is>
          <t>ч</t>
        </is>
      </c>
      <c r="G59" s="33" t="inlineStr">
        <is>
          <t>mtc = 1 / 0.00096 = 1041.67 ч</t>
        </is>
      </c>
    </row>
    <row r="60" ht="22" customHeight="1">
      <c r="B60" s="37" t="inlineStr">
        <is>
          <t>ВЫВОД / ОТВЕТ: Результаты: интенсивность отказов λc = 0,00096 1/ч; вероятность безотказной работы Pc(50) = 0,9531 (95,31%); среднее время безотказной работы mtc = 1041,67 ч.</t>
        </is>
      </c>
      <c r="C60" s="38" t="n"/>
      <c r="D60" s="38" t="n"/>
      <c r="E60" s="38" t="n"/>
      <c r="F60" s="38" t="n"/>
      <c r="G60" s="38" t="n"/>
    </row>
    <row r="63" ht="22" customHeight="1">
      <c r="B63" s="25" t="inlineStr">
        <is>
          <t>ЗАДАЧА № 11. Надежность прибора из 5 разнонадежных узлов</t>
        </is>
      </c>
      <c r="C63" s="2" t="n"/>
      <c r="D63" s="2" t="n"/>
      <c r="E63" s="2" t="n"/>
      <c r="F63" s="2" t="n"/>
      <c r="G63" s="2" t="n"/>
    </row>
    <row r="64" ht="16" customHeight="1">
      <c r="B64" s="26" t="inlineStr">
        <is>
          <t>Условие: Прибор состоит из n = 5 узлов с вероятностями безотказной работы P1 = 0,98; P2 = 0,99; P3 = 0,998; P4 = 0,975; P5 = 0,985. Определить вероятность безотказной работы прибора.</t>
        </is>
      </c>
      <c r="C64" s="27" t="n"/>
      <c r="D64" s="27" t="n"/>
      <c r="E64" s="27" t="n"/>
      <c r="F64" s="27" t="n"/>
      <c r="G64" s="27" t="n"/>
    </row>
    <row r="65" ht="16" customHeight="1">
      <c r="B65" s="27" t="n"/>
      <c r="C65" s="27" t="n"/>
      <c r="D65" s="27" t="n"/>
      <c r="E65" s="27" t="n"/>
      <c r="F65" s="27" t="n"/>
      <c r="G65" s="27" t="n"/>
    </row>
    <row r="66" ht="18" customHeight="1">
      <c r="B66" s="6" t="inlineStr">
        <is>
          <t>Таблица 1. Исходные данные задачи</t>
        </is>
      </c>
    </row>
    <row r="67" ht="20" customHeight="1">
      <c r="B67" s="28" t="inlineStr">
        <is>
          <t>Наименование параметра</t>
        </is>
      </c>
      <c r="C67" s="28" t="inlineStr">
        <is>
          <t>Обозначение</t>
        </is>
      </c>
      <c r="D67" s="28" t="inlineStr">
        <is>
          <t>Значение</t>
        </is>
      </c>
      <c r="E67" s="28" t="inlineStr">
        <is>
          <t>Ед. изм.</t>
        </is>
      </c>
      <c r="F67" s="28" t="inlineStr">
        <is>
          <t>Пояснение</t>
        </is>
      </c>
    </row>
    <row r="68" ht="19" customHeight="1">
      <c r="B68" s="29" t="inlineStr">
        <is>
          <t>Вероятность узла 1</t>
        </is>
      </c>
      <c r="C68" s="30" t="inlineStr">
        <is>
          <t>P1</t>
        </is>
      </c>
      <c r="D68" s="39" t="n">
        <v>0.98</v>
      </c>
      <c r="E68" s="32" t="inlineStr">
        <is>
          <t>—</t>
        </is>
      </c>
      <c r="F68" s="33" t="inlineStr">
        <is>
          <t>P1(t) = 0.98</t>
        </is>
      </c>
    </row>
    <row r="69" ht="19" customHeight="1">
      <c r="B69" s="29" t="inlineStr">
        <is>
          <t>Вероятность узла 2</t>
        </is>
      </c>
      <c r="C69" s="30" t="inlineStr">
        <is>
          <t>P2</t>
        </is>
      </c>
      <c r="D69" s="39" t="n">
        <v>0.99</v>
      </c>
      <c r="E69" s="32" t="inlineStr">
        <is>
          <t>—</t>
        </is>
      </c>
      <c r="F69" s="33" t="inlineStr">
        <is>
          <t>P2(t) = 0.99</t>
        </is>
      </c>
    </row>
    <row r="70" ht="19" customHeight="1">
      <c r="B70" s="29" t="inlineStr">
        <is>
          <t>Вероятность узла 3</t>
        </is>
      </c>
      <c r="C70" s="30" t="inlineStr">
        <is>
          <t>P3</t>
        </is>
      </c>
      <c r="D70" s="39" t="n">
        <v>0.998</v>
      </c>
      <c r="E70" s="32" t="inlineStr">
        <is>
          <t>—</t>
        </is>
      </c>
      <c r="F70" s="33" t="inlineStr">
        <is>
          <t>P3(t) = 0.998</t>
        </is>
      </c>
    </row>
    <row r="71" ht="19" customHeight="1">
      <c r="B71" s="29" t="inlineStr">
        <is>
          <t>Вероятность узла 4</t>
        </is>
      </c>
      <c r="C71" s="30" t="inlineStr">
        <is>
          <t>P4</t>
        </is>
      </c>
      <c r="D71" s="39" t="n">
        <v>0.975</v>
      </c>
      <c r="E71" s="32" t="inlineStr">
        <is>
          <t>—</t>
        </is>
      </c>
      <c r="F71" s="33" t="inlineStr">
        <is>
          <t>P4(t) = 0.975</t>
        </is>
      </c>
    </row>
    <row r="72" ht="19" customHeight="1">
      <c r="B72" s="29" t="inlineStr">
        <is>
          <t>Вероятность узла 5</t>
        </is>
      </c>
      <c r="C72" s="30" t="inlineStr">
        <is>
          <t>P5</t>
        </is>
      </c>
      <c r="D72" s="39" t="n">
        <v>0.985</v>
      </c>
      <c r="E72" s="32" t="inlineStr">
        <is>
          <t>—</t>
        </is>
      </c>
      <c r="F72" s="33" t="inlineStr">
        <is>
          <t>P5(t) = 0.985</t>
        </is>
      </c>
    </row>
    <row r="74" ht="18" customHeight="1">
      <c r="B74" s="6" t="inlineStr">
        <is>
          <t>Таблица 2. Расчет показателей надежности</t>
        </is>
      </c>
    </row>
    <row r="75" ht="20" customHeight="1">
      <c r="B75" s="35" t="inlineStr">
        <is>
          <t>Определяемый показатель</t>
        </is>
      </c>
      <c r="C75" s="35" t="inlineStr">
        <is>
          <t>Обозначение</t>
        </is>
      </c>
      <c r="D75" s="35" t="inlineStr">
        <is>
          <t>Математическая формула</t>
        </is>
      </c>
      <c r="E75" s="35" t="inlineStr">
        <is>
          <t>Значение (Excel)</t>
        </is>
      </c>
      <c r="F75" s="35" t="inlineStr">
        <is>
          <t>Ед. изм.</t>
        </is>
      </c>
      <c r="G75" s="35" t="inlineStr">
        <is>
          <t>Пояснение</t>
        </is>
      </c>
    </row>
    <row r="76" ht="20" customHeight="1">
      <c r="B76" s="29" t="inlineStr">
        <is>
          <t>Точная вероятность прибора</t>
        </is>
      </c>
      <c r="C76" s="30" t="inlineStr">
        <is>
          <t>Pc_exact</t>
        </is>
      </c>
      <c r="D76" s="36" t="inlineStr">
        <is>
          <t>P1 · P2 · P3 · P4 · P5</t>
        </is>
      </c>
      <c r="E76" s="11">
        <f>D68*D69*D70*D71*D72</f>
        <v/>
      </c>
      <c r="F76" s="32" t="inlineStr">
        <is>
          <t>—</t>
        </is>
      </c>
      <c r="G76" s="33" t="inlineStr">
        <is>
          <t>Pc = 0.98·0.99·0.998·0.975·0.985 ≈ 0.9301</t>
        </is>
      </c>
    </row>
    <row r="77" ht="20" customHeight="1">
      <c r="B77" s="29" t="inlineStr">
        <is>
          <t>Суммарная вероятность отказа узлов</t>
        </is>
      </c>
      <c r="C77" s="30" t="inlineStr">
        <is>
          <t>sum_q</t>
        </is>
      </c>
      <c r="D77" s="36" t="inlineStr">
        <is>
          <t>Σ qi = Σ(1 - Pi)</t>
        </is>
      </c>
      <c r="E77" s="11">
        <f>(1-D68)+(1-D69)+(1-D70)+(1-D71)+(1-D72)</f>
        <v/>
      </c>
      <c r="F77" s="32" t="inlineStr">
        <is>
          <t>—</t>
        </is>
      </c>
      <c r="G77" s="33" t="inlineStr">
        <is>
          <t>Σ qi = 0.02 + 0.01 + 0.002 + 0.025 + 0.015 = 0.072</t>
        </is>
      </c>
    </row>
    <row r="78" ht="20" customHeight="1">
      <c r="B78" s="29" t="inlineStr">
        <is>
          <t>Приближенная вероятность по (3.18)</t>
        </is>
      </c>
      <c r="C78" s="30" t="inlineStr">
        <is>
          <t>Pc_approx</t>
        </is>
      </c>
      <c r="D78" s="36" t="inlineStr">
        <is>
          <t>1 - Σ qi</t>
        </is>
      </c>
      <c r="E78" s="11">
        <f>1-E77</f>
        <v/>
      </c>
      <c r="F78" s="32" t="inlineStr">
        <is>
          <t>—</t>
        </is>
      </c>
      <c r="G78" s="33" t="inlineStr">
        <is>
          <t>Pc ≈ 1 - 0.072 = 0.9280</t>
        </is>
      </c>
    </row>
    <row r="79" ht="20" customHeight="1">
      <c r="B79" s="29" t="inlineStr">
        <is>
          <t>Вероятность отказа прибора</t>
        </is>
      </c>
      <c r="C79" s="30" t="inlineStr">
        <is>
          <t>qc</t>
        </is>
      </c>
      <c r="D79" s="36" t="inlineStr">
        <is>
          <t>1 - Pc_exact</t>
        </is>
      </c>
      <c r="E79" s="11">
        <f>1-E76</f>
        <v/>
      </c>
      <c r="F79" s="32" t="inlineStr">
        <is>
          <t>—</t>
        </is>
      </c>
      <c r="G79" s="33" t="inlineStr">
        <is>
          <t>qc = 1 - 0.9301 = 0.0699 (6.99%)</t>
        </is>
      </c>
    </row>
    <row r="80" ht="22" customHeight="1">
      <c r="B80" s="37" t="inlineStr">
        <is>
          <t>ВЫВОД / ОТВЕТ: Результаты: точная вероятность безотказной работы Pc = 0,9301 (93,01%); приближенная по формуле (3.18) Pc ≈ 0,9280. Погрешность приближения составляет менее 0,23%.</t>
        </is>
      </c>
      <c r="C80" s="38" t="n"/>
      <c r="D80" s="38" t="n"/>
      <c r="E80" s="38" t="n"/>
      <c r="F80" s="38" t="n"/>
      <c r="G80" s="38" t="n"/>
    </row>
    <row r="83" ht="22" customHeight="1">
      <c r="B83" s="25" t="inlineStr">
        <is>
          <t>ЗАДАЧА № 12. Система из 5 приборов с известными средними наработками</t>
        </is>
      </c>
      <c r="C83" s="40" t="n"/>
      <c r="D83" s="40" t="n"/>
      <c r="E83" s="40" t="n"/>
      <c r="F83" s="40" t="n"/>
      <c r="G83" s="40" t="n"/>
    </row>
    <row r="84" ht="16" customHeight="1">
      <c r="B84" s="26" t="inlineStr">
        <is>
          <t>Условие: Система состоит из пяти приборов, среднее время безотказной работы которых равно: mt1 = 83 ч, mt2 = 220 ч, mt3 = 280 ч, mt4 = 400 ч, mt5 = 700 ч. Экспоненциальный закон надежности. Найти среднее время безотказной работы системы mtc.</t>
        </is>
      </c>
      <c r="C84" s="27" t="n"/>
      <c r="D84" s="27" t="n"/>
      <c r="E84" s="27" t="n"/>
      <c r="F84" s="27" t="n"/>
      <c r="G84" s="27" t="n"/>
    </row>
    <row r="85" ht="16" customHeight="1">
      <c r="B85" s="27" t="n"/>
      <c r="C85" s="27" t="n"/>
      <c r="D85" s="27" t="n"/>
      <c r="E85" s="27" t="n"/>
      <c r="F85" s="27" t="n"/>
      <c r="G85" s="27" t="n"/>
    </row>
    <row r="86" ht="18" customHeight="1">
      <c r="B86" s="6" t="inlineStr">
        <is>
          <t>Таблица 1. Исходные параметры приборов</t>
        </is>
      </c>
    </row>
    <row r="87" ht="20" customHeight="1">
      <c r="B87" s="28" t="inlineStr">
        <is>
          <t>№</t>
        </is>
      </c>
      <c r="C87" s="28" t="inlineStr">
        <is>
          <t>Обозначение</t>
        </is>
      </c>
      <c r="D87" s="28" t="inlineStr">
        <is>
          <t>Наработка mti</t>
        </is>
      </c>
      <c r="E87" s="28" t="inlineStr">
        <is>
          <t>Ед. изм.</t>
        </is>
      </c>
      <c r="F87" s="28" t="inlineStr">
        <is>
          <t>Интенсивность λi = 1/mti</t>
        </is>
      </c>
      <c r="G87" s="28" t="inlineStr">
        <is>
          <t>Пояснение</t>
        </is>
      </c>
    </row>
    <row r="88" ht="19" customHeight="1">
      <c r="B88" s="32" t="inlineStr">
        <is>
          <t>Прибор 1</t>
        </is>
      </c>
      <c r="C88" s="30" t="inlineStr">
        <is>
          <t>mt1</t>
        </is>
      </c>
      <c r="D88" s="31" t="n">
        <v>83</v>
      </c>
      <c r="E88" s="32" t="inlineStr">
        <is>
          <t>ч</t>
        </is>
      </c>
      <c r="F88" s="41">
        <f>1/D88</f>
        <v/>
      </c>
      <c r="G88" s="33" t="inlineStr">
        <is>
          <t>Наименее надежный элемент</t>
        </is>
      </c>
    </row>
    <row r="89" ht="19" customHeight="1">
      <c r="B89" s="32" t="inlineStr">
        <is>
          <t>Прибор 2</t>
        </is>
      </c>
      <c r="C89" s="30" t="inlineStr">
        <is>
          <t>mt2</t>
        </is>
      </c>
      <c r="D89" s="31" t="n">
        <v>220</v>
      </c>
      <c r="E89" s="32" t="inlineStr">
        <is>
          <t>ч</t>
        </is>
      </c>
      <c r="F89" s="41">
        <f>1/D89</f>
        <v/>
      </c>
      <c r="G89" s="33" t="inlineStr">
        <is>
          <t>Прибор 2</t>
        </is>
      </c>
    </row>
    <row r="90" ht="19" customHeight="1">
      <c r="B90" s="32" t="inlineStr">
        <is>
          <t>Прибор 3</t>
        </is>
      </c>
      <c r="C90" s="30" t="inlineStr">
        <is>
          <t>mt3</t>
        </is>
      </c>
      <c r="D90" s="31" t="n">
        <v>280</v>
      </c>
      <c r="E90" s="32" t="inlineStr">
        <is>
          <t>ч</t>
        </is>
      </c>
      <c r="F90" s="41">
        <f>1/D90</f>
        <v/>
      </c>
      <c r="G90" s="33" t="inlineStr">
        <is>
          <t>Прибор 3</t>
        </is>
      </c>
    </row>
    <row r="91" ht="19" customHeight="1">
      <c r="B91" s="32" t="inlineStr">
        <is>
          <t>Прибор 4</t>
        </is>
      </c>
      <c r="C91" s="30" t="inlineStr">
        <is>
          <t>mt4</t>
        </is>
      </c>
      <c r="D91" s="31" t="n">
        <v>400</v>
      </c>
      <c r="E91" s="32" t="inlineStr">
        <is>
          <t>ч</t>
        </is>
      </c>
      <c r="F91" s="41">
        <f>1/D91</f>
        <v/>
      </c>
      <c r="G91" s="33" t="inlineStr">
        <is>
          <t>Прибор 4</t>
        </is>
      </c>
    </row>
    <row r="92" ht="19" customHeight="1">
      <c r="B92" s="32" t="inlineStr">
        <is>
          <t>Прибор 5</t>
        </is>
      </c>
      <c r="C92" s="30" t="inlineStr">
        <is>
          <t>mt5</t>
        </is>
      </c>
      <c r="D92" s="31" t="n">
        <v>700</v>
      </c>
      <c r="E92" s="32" t="inlineStr">
        <is>
          <t>ч</t>
        </is>
      </c>
      <c r="F92" s="41">
        <f>1/D92</f>
        <v/>
      </c>
      <c r="G92" s="33" t="inlineStr">
        <is>
          <t>Наиболее надежный элемент</t>
        </is>
      </c>
    </row>
    <row r="93">
      <c r="B93" s="42" t="inlineStr">
        <is>
          <t>Суммарная интенсивность отказов системы λc = Σ λi :</t>
        </is>
      </c>
      <c r="C93" s="43" t="n"/>
      <c r="D93" s="43" t="n"/>
      <c r="E93" s="43" t="n"/>
      <c r="F93" s="44">
        <f>SUM(F88:F92)</f>
        <v/>
      </c>
      <c r="G93" s="45" t="inlineStr">
        <is>
          <t>1/ч (λc ≈ 0.024094 ч⁻¹)</t>
        </is>
      </c>
    </row>
    <row r="95" ht="18" customHeight="1">
      <c r="B95" s="6" t="inlineStr">
        <is>
          <t>Таблица 2. Расчет средней наработки системы</t>
        </is>
      </c>
    </row>
    <row r="96" ht="20" customHeight="1">
      <c r="B96" s="35" t="inlineStr">
        <is>
          <t>Определяемый показатель</t>
        </is>
      </c>
      <c r="C96" s="35" t="inlineStr">
        <is>
          <t>Обозначение</t>
        </is>
      </c>
      <c r="D96" s="35" t="inlineStr">
        <is>
          <t>Математическая формула</t>
        </is>
      </c>
      <c r="E96" s="35" t="inlineStr">
        <is>
          <t>Значение (Excel)</t>
        </is>
      </c>
      <c r="F96" s="35" t="inlineStr">
        <is>
          <t>Ед. изм.</t>
        </is>
      </c>
      <c r="G96" s="35" t="inlineStr">
        <is>
          <t>Пояснение</t>
        </is>
      </c>
    </row>
    <row r="97" ht="20" customHeight="1">
      <c r="B97" s="29" t="inlineStr">
        <is>
          <t>Среднее время безотказной работы системы</t>
        </is>
      </c>
      <c r="C97" s="30" t="inlineStr">
        <is>
          <t>mtc</t>
        </is>
      </c>
      <c r="D97" s="36" t="inlineStr">
        <is>
          <t>1 / λc</t>
        </is>
      </c>
      <c r="E97" s="18">
        <f>1/F93</f>
        <v/>
      </c>
      <c r="F97" s="32" t="inlineStr">
        <is>
          <t>ч</t>
        </is>
      </c>
      <c r="G97" s="33" t="inlineStr">
        <is>
          <t>mtc = 1 / 0.024094 ≈ 41.50 ч</t>
        </is>
      </c>
    </row>
    <row r="98" ht="22" customHeight="1">
      <c r="B98" s="37" t="inlineStr">
        <is>
          <t>ВЫВОД / ОТВЕТ: Интенсивность отказов системы λc = 0,024094 1/ч; среднее время безотказной работы системы mtc = 41,50 ч.</t>
        </is>
      </c>
      <c r="C98" s="38" t="n"/>
      <c r="D98" s="38" t="n"/>
      <c r="E98" s="38" t="n"/>
      <c r="F98" s="38" t="n"/>
      <c r="G98" s="38" t="n"/>
    </row>
    <row r="101" ht="22" customHeight="1">
      <c r="B101" s="25" t="inlineStr">
        <is>
          <t>ЗАДАЧА № 13. Среднее время безотказной работы прибора из 5 блоков (t = 50 ч)</t>
        </is>
      </c>
      <c r="C101" s="2" t="n"/>
      <c r="D101" s="2" t="n"/>
      <c r="E101" s="2" t="n"/>
      <c r="F101" s="2" t="n"/>
      <c r="G101" s="2" t="n"/>
    </row>
    <row r="102" ht="16" customHeight="1">
      <c r="B102" s="26" t="inlineStr">
        <is>
          <t>Условие: Прибор состоит из пяти блоков. Вероятности безотказной работы блоков за t = 50 ч: P1 = 0,98; P2 = 0,99; P3 = 0,998; P4 = 0,975; P5 = 0,985. Экспоненциальный закон. Найти mtc прибора.</t>
        </is>
      </c>
      <c r="C102" s="27" t="n"/>
      <c r="D102" s="27" t="n"/>
      <c r="E102" s="27" t="n"/>
      <c r="F102" s="27" t="n"/>
      <c r="G102" s="27" t="n"/>
    </row>
    <row r="103" ht="16" customHeight="1">
      <c r="B103" s="27" t="n"/>
      <c r="C103" s="27" t="n"/>
      <c r="D103" s="27" t="n"/>
      <c r="E103" s="27" t="n"/>
      <c r="F103" s="27" t="n"/>
      <c r="G103" s="27" t="n"/>
    </row>
    <row r="104" ht="18" customHeight="1">
      <c r="B104" s="6" t="inlineStr">
        <is>
          <t>Таблица 1. Исходные данные задачи</t>
        </is>
      </c>
    </row>
    <row r="105" ht="20" customHeight="1">
      <c r="B105" s="28" t="inlineStr">
        <is>
          <t>Наименование параметра</t>
        </is>
      </c>
      <c r="C105" s="28" t="inlineStr">
        <is>
          <t>Обозначение</t>
        </is>
      </c>
      <c r="D105" s="28" t="inlineStr">
        <is>
          <t>Значение</t>
        </is>
      </c>
      <c r="E105" s="28" t="inlineStr">
        <is>
          <t>Ед. изм.</t>
        </is>
      </c>
      <c r="F105" s="28" t="inlineStr">
        <is>
          <t>Пояснение</t>
        </is>
      </c>
    </row>
    <row r="106" ht="19" customHeight="1">
      <c r="B106" s="29" t="inlineStr">
        <is>
          <t>Вероятность блока 1 (50 ч)</t>
        </is>
      </c>
      <c r="C106" s="30" t="inlineStr">
        <is>
          <t>P1</t>
        </is>
      </c>
      <c r="D106" s="39" t="n">
        <v>0.98</v>
      </c>
      <c r="E106" s="32" t="inlineStr">
        <is>
          <t>—</t>
        </is>
      </c>
      <c r="F106" s="33" t="inlineStr">
        <is>
          <t>P1(50) = 0.98</t>
        </is>
      </c>
    </row>
    <row r="107" ht="19" customHeight="1">
      <c r="B107" s="29" t="inlineStr">
        <is>
          <t>Вероятность блока 2 (50 ч)</t>
        </is>
      </c>
      <c r="C107" s="30" t="inlineStr">
        <is>
          <t>P2</t>
        </is>
      </c>
      <c r="D107" s="39" t="n">
        <v>0.99</v>
      </c>
      <c r="E107" s="32" t="inlineStr">
        <is>
          <t>—</t>
        </is>
      </c>
      <c r="F107" s="33" t="inlineStr">
        <is>
          <t>P2(50) = 0.99</t>
        </is>
      </c>
    </row>
    <row r="108" ht="19" customHeight="1">
      <c r="B108" s="29" t="inlineStr">
        <is>
          <t>Вероятность блока 3 (50 ч)</t>
        </is>
      </c>
      <c r="C108" s="30" t="inlineStr">
        <is>
          <t>P3</t>
        </is>
      </c>
      <c r="D108" s="39" t="n">
        <v>0.998</v>
      </c>
      <c r="E108" s="32" t="inlineStr">
        <is>
          <t>—</t>
        </is>
      </c>
      <c r="F108" s="33" t="inlineStr">
        <is>
          <t>P3(50) = 0.998</t>
        </is>
      </c>
    </row>
    <row r="109" ht="19" customHeight="1">
      <c r="B109" s="29" t="inlineStr">
        <is>
          <t>Вероятность блока 4 (50 ч)</t>
        </is>
      </c>
      <c r="C109" s="30" t="inlineStr">
        <is>
          <t>P4</t>
        </is>
      </c>
      <c r="D109" s="39" t="n">
        <v>0.975</v>
      </c>
      <c r="E109" s="32" t="inlineStr">
        <is>
          <t>—</t>
        </is>
      </c>
      <c r="F109" s="33" t="inlineStr">
        <is>
          <t>P4(50) = 0.975</t>
        </is>
      </c>
    </row>
    <row r="110" ht="19" customHeight="1">
      <c r="B110" s="29" t="inlineStr">
        <is>
          <t>Вероятность блока 5 (50 ч)</t>
        </is>
      </c>
      <c r="C110" s="30" t="inlineStr">
        <is>
          <t>P5</t>
        </is>
      </c>
      <c r="D110" s="39" t="n">
        <v>0.985</v>
      </c>
      <c r="E110" s="32" t="inlineStr">
        <is>
          <t>—</t>
        </is>
      </c>
      <c r="F110" s="33" t="inlineStr">
        <is>
          <t>P5(50) = 0.985</t>
        </is>
      </c>
    </row>
    <row r="111" ht="19" customHeight="1">
      <c r="B111" s="29" t="inlineStr">
        <is>
          <t>Время наработки</t>
        </is>
      </c>
      <c r="C111" s="30" t="inlineStr">
        <is>
          <t>t</t>
        </is>
      </c>
      <c r="D111" s="31" t="n">
        <v>50</v>
      </c>
      <c r="E111" s="32" t="inlineStr">
        <is>
          <t>ч</t>
        </is>
      </c>
      <c r="F111" s="33" t="inlineStr">
        <is>
          <t>Контрольная точка t = 50 ч</t>
        </is>
      </c>
    </row>
    <row r="113" ht="18" customHeight="1">
      <c r="B113" s="6" t="inlineStr">
        <is>
          <t>Таблица 2. Расчет показателей надежности</t>
        </is>
      </c>
    </row>
    <row r="114" ht="20" customHeight="1">
      <c r="B114" s="35" t="inlineStr">
        <is>
          <t>Определяемый показатель</t>
        </is>
      </c>
      <c r="C114" s="35" t="inlineStr">
        <is>
          <t>Обозначение</t>
        </is>
      </c>
      <c r="D114" s="35" t="inlineStr">
        <is>
          <t>Математическая формула</t>
        </is>
      </c>
      <c r="E114" s="35" t="inlineStr">
        <is>
          <t>Значение (Excel)</t>
        </is>
      </c>
      <c r="F114" s="35" t="inlineStr">
        <is>
          <t>Ед. изм.</t>
        </is>
      </c>
      <c r="G114" s="35" t="inlineStr">
        <is>
          <t>Пояснение</t>
        </is>
      </c>
    </row>
    <row r="115" ht="20" customHeight="1">
      <c r="B115" s="29" t="inlineStr">
        <is>
          <t>Вероятность безотказной работы Pc(50)</t>
        </is>
      </c>
      <c r="C115" s="30" t="inlineStr">
        <is>
          <t>Pc_50</t>
        </is>
      </c>
      <c r="D115" s="36" t="inlineStr">
        <is>
          <t>Π Pi</t>
        </is>
      </c>
      <c r="E115" s="11">
        <f>D106*D107*D108*D109*D110</f>
        <v/>
      </c>
      <c r="F115" s="32" t="inlineStr">
        <is>
          <t>—</t>
        </is>
      </c>
      <c r="G115" s="33" t="inlineStr">
        <is>
          <t>Pc(50) = 0.98·0.99·0.998·0.975·0.985 ≈ 0.9301</t>
        </is>
      </c>
    </row>
    <row r="116" ht="20" customHeight="1">
      <c r="B116" s="29" t="inlineStr">
        <is>
          <t>Интенсивность отказов прибора λc</t>
        </is>
      </c>
      <c r="C116" s="30" t="inlineStr">
        <is>
          <t>lc</t>
        </is>
      </c>
      <c r="D116" s="36" t="inlineStr">
        <is>
          <t>-LN(Pc) / t</t>
        </is>
      </c>
      <c r="E116" s="22">
        <f>-LN(E115)/D111</f>
        <v/>
      </c>
      <c r="F116" s="32" t="inlineStr">
        <is>
          <t>1/ч</t>
        </is>
      </c>
      <c r="G116" s="33" t="inlineStr">
        <is>
          <t>λc = -ln(0.930058)/50 ≈ 0.001450 ч⁻¹</t>
        </is>
      </c>
    </row>
    <row r="117" ht="20" customHeight="1">
      <c r="B117" s="29" t="inlineStr">
        <is>
          <t>Среднее время безотказной работы mtc</t>
        </is>
      </c>
      <c r="C117" s="30" t="inlineStr">
        <is>
          <t>mtc</t>
        </is>
      </c>
      <c r="D117" s="36" t="inlineStr">
        <is>
          <t>1 / λc</t>
        </is>
      </c>
      <c r="E117" s="18">
        <f>1/E116</f>
        <v/>
      </c>
      <c r="F117" s="32" t="inlineStr">
        <is>
          <t>ч</t>
        </is>
      </c>
      <c r="G117" s="33" t="inlineStr">
        <is>
          <t>mtc = 1 / 0.0014502 ≈ 689.57 ч</t>
        </is>
      </c>
    </row>
    <row r="118" ht="20" customHeight="1">
      <c r="B118" s="29" t="inlineStr">
        <is>
          <t>Приближенное значение mtc по (3.18)</t>
        </is>
      </c>
      <c r="C118" s="30" t="inlineStr">
        <is>
          <t>mtc_appr</t>
        </is>
      </c>
      <c r="D118" s="36" t="inlineStr">
        <is>
          <t>t / Σ qi</t>
        </is>
      </c>
      <c r="E118" s="18">
        <f>D111/((1-D106)+(1-D107)+(1-D108)+(1-D109)+(1-D110))</f>
        <v/>
      </c>
      <c r="F118" s="32" t="inlineStr">
        <is>
          <t>ч</t>
        </is>
      </c>
      <c r="G118" s="33" t="inlineStr">
        <is>
          <t>mtc ≈ 50 / 0.072 ≈ 694.44 ч</t>
        </is>
      </c>
    </row>
    <row r="119" ht="22" customHeight="1">
      <c r="B119" s="37" t="inlineStr">
        <is>
          <t>ВЫВОД / ОТВЕТ: Результаты: вероятность за 50 ч Pc(50) = 0,9301; интенсивность отказов λc = 0,001450 1/ч (1,45·10⁻³ ч⁻¹); точное среднее время безотказной работы прибора mtc = 689,57 ч (приближенное по формуле (3.18) mtc ≈ 694,44 ч).</t>
        </is>
      </c>
      <c r="C119" s="38" t="n"/>
      <c r="D119" s="38" t="n"/>
      <c r="E119" s="38" t="n"/>
      <c r="F119" s="38" t="n"/>
      <c r="G119" s="38" t="n"/>
    </row>
  </sheetData>
  <mergeCells count="22">
    <mergeCell ref="B2:G2"/>
    <mergeCell ref="B101:G101"/>
    <mergeCell ref="B60:G60"/>
    <mergeCell ref="B98:G98"/>
    <mergeCell ref="B45:G46"/>
    <mergeCell ref="B119:G119"/>
    <mergeCell ref="B44:G44"/>
    <mergeCell ref="B7:G8"/>
    <mergeCell ref="B26:G27"/>
    <mergeCell ref="B83:G83"/>
    <mergeCell ref="B93:E93"/>
    <mergeCell ref="B6:G6"/>
    <mergeCell ref="B80:G80"/>
    <mergeCell ref="B102:G103"/>
    <mergeCell ref="B63:G63"/>
    <mergeCell ref="B41:G41"/>
    <mergeCell ref="B4:G4"/>
    <mergeCell ref="B25:G25"/>
    <mergeCell ref="B3:G3"/>
    <mergeCell ref="B22:G22"/>
    <mergeCell ref="B84:G85"/>
    <mergeCell ref="B64:G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2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  <col width="30" customWidth="1" min="4" max="4"/>
    <col width="22" customWidth="1" min="5" max="5"/>
    <col width="12" customWidth="1" min="6" max="6"/>
    <col width="44" customWidth="1" min="7" max="7"/>
  </cols>
  <sheetData>
    <row r="2" ht="26" customHeight="1">
      <c r="B2" s="1" t="inlineStr">
        <is>
          <t>ТИПОВЫЕ ЗАДАЧИ С РЕШЕНИЕМ ИЗ ПРЕЗЕНТАЦИИ (№ 1 – 7)</t>
        </is>
      </c>
      <c r="C2" s="2" t="n"/>
      <c r="D2" s="2" t="n"/>
      <c r="E2" s="2" t="n"/>
      <c r="F2" s="2" t="n"/>
      <c r="G2" s="2" t="n"/>
    </row>
    <row r="3" ht="20" customHeight="1">
      <c r="B3" s="3" t="inlineStr">
        <is>
          <t>Практическая работа № 3. Примеры расчета показателей надежности последовательных систем</t>
        </is>
      </c>
      <c r="C3" s="4" t="n"/>
      <c r="D3" s="4" t="n"/>
      <c r="E3" s="4" t="n"/>
      <c r="F3" s="4" t="n"/>
      <c r="G3" s="4" t="n"/>
    </row>
    <row r="4" ht="18" customHeight="1">
      <c r="B4" s="5" t="inlineStr">
        <is>
          <t>Полное соответствие слайдам 14–17 презентации лекций</t>
        </is>
      </c>
      <c r="C4" s="4" t="n"/>
      <c r="D4" s="4" t="n"/>
      <c r="E4" s="4" t="n"/>
      <c r="F4" s="4" t="n"/>
      <c r="G4" s="4" t="n"/>
    </row>
    <row r="6" ht="22" customHeight="1">
      <c r="B6" s="25" t="inlineStr">
        <is>
          <t>ЗАДАЧА № 1. Система из трех устройств (электронного и двух электромеханических)</t>
        </is>
      </c>
      <c r="C6" s="2" t="n"/>
      <c r="D6" s="2" t="n"/>
      <c r="E6" s="2" t="n"/>
      <c r="F6" s="2" t="n"/>
      <c r="G6" s="2" t="n"/>
    </row>
    <row r="7" ht="16" customHeight="1">
      <c r="B7" s="26" t="inlineStr">
        <is>
          <t>Условие: λ1 = 0,16∙10⁻³ ч⁻¹ (const); λ2(t) = 0,23∙10⁻⁴∙t ч⁻¹; λ3(t) = 0,06∙10⁻⁶∙t^2,6 ч⁻¹. Найти Pc(100) при t = 100 ч.</t>
        </is>
      </c>
      <c r="C7" s="27" t="n"/>
      <c r="D7" s="27" t="n"/>
      <c r="E7" s="27" t="n"/>
      <c r="F7" s="27" t="n"/>
      <c r="G7" s="27" t="n"/>
    </row>
    <row r="8" ht="16" customHeight="1">
      <c r="B8" s="27" t="n"/>
      <c r="C8" s="27" t="n"/>
      <c r="D8" s="27" t="n"/>
      <c r="E8" s="27" t="n"/>
      <c r="F8" s="27" t="n"/>
      <c r="G8" s="27" t="n"/>
    </row>
    <row r="9" ht="18" customHeight="1">
      <c r="B9" s="6" t="inlineStr">
        <is>
          <t>Таблица 1. Исходные данные задачи</t>
        </is>
      </c>
    </row>
    <row r="10" ht="20" customHeight="1">
      <c r="B10" s="28" t="inlineStr">
        <is>
          <t>Наименование параметра</t>
        </is>
      </c>
      <c r="C10" s="28" t="inlineStr">
        <is>
          <t>Обозначение</t>
        </is>
      </c>
      <c r="D10" s="28" t="inlineStr">
        <is>
          <t>Значение</t>
        </is>
      </c>
      <c r="E10" s="28" t="inlineStr">
        <is>
          <t>Ед. изм.</t>
        </is>
      </c>
      <c r="F10" s="28" t="inlineStr">
        <is>
          <t>Пояснение</t>
        </is>
      </c>
    </row>
    <row r="11" ht="19" customHeight="1">
      <c r="B11" s="29" t="inlineStr">
        <is>
          <t>Интенсивность устройства 1</t>
        </is>
      </c>
      <c r="C11" s="30" t="inlineStr">
        <is>
          <t>l1</t>
        </is>
      </c>
      <c r="D11" s="39" t="n">
        <v>0.00016</v>
      </c>
      <c r="E11" s="32" t="inlineStr">
        <is>
          <t>1/ч</t>
        </is>
      </c>
      <c r="F11" s="33" t="inlineStr">
        <is>
          <t>λ1 = const</t>
        </is>
      </c>
    </row>
    <row r="12" ht="19" customHeight="1">
      <c r="B12" s="29" t="inlineStr">
        <is>
          <t>Коэффициент устройства 2</t>
        </is>
      </c>
      <c r="C12" s="30" t="inlineStr">
        <is>
          <t>k2</t>
        </is>
      </c>
      <c r="D12" s="34" t="n">
        <v>2.3e-05</v>
      </c>
      <c r="E12" s="32" t="inlineStr">
        <is>
          <t>1/ч²</t>
        </is>
      </c>
      <c r="F12" s="33" t="inlineStr">
        <is>
          <t>λ2(t) = k2 · t</t>
        </is>
      </c>
    </row>
    <row r="13" ht="19" customHeight="1">
      <c r="B13" s="29" t="inlineStr">
        <is>
          <t>Коэффициент устройства 3</t>
        </is>
      </c>
      <c r="C13" s="30" t="inlineStr">
        <is>
          <t>k3</t>
        </is>
      </c>
      <c r="D13" s="34" t="n">
        <v>5.999999999999999e-08</v>
      </c>
      <c r="E13" s="32" t="inlineStr">
        <is>
          <t>1/ч^3.6</t>
        </is>
      </c>
      <c r="F13" s="33" t="inlineStr">
        <is>
          <t>λ3(t) = k3 · t^2.6</t>
        </is>
      </c>
    </row>
    <row r="14" ht="19" customHeight="1">
      <c r="B14" s="29" t="inlineStr">
        <is>
          <t>Время наработки</t>
        </is>
      </c>
      <c r="C14" s="30" t="inlineStr">
        <is>
          <t>t</t>
        </is>
      </c>
      <c r="D14" s="31" t="n">
        <v>100</v>
      </c>
      <c r="E14" s="32" t="inlineStr">
        <is>
          <t>ч</t>
        </is>
      </c>
      <c r="F14" s="33" t="inlineStr">
        <is>
          <t>t = 100 ч</t>
        </is>
      </c>
    </row>
    <row r="16" ht="18" customHeight="1">
      <c r="B16" s="6" t="inlineStr">
        <is>
          <t>Таблица 2. Расчет показателей надежности</t>
        </is>
      </c>
    </row>
    <row r="17" ht="20" customHeight="1">
      <c r="B17" s="35" t="inlineStr">
        <is>
          <t>Определяемый показатель</t>
        </is>
      </c>
      <c r="C17" s="35" t="inlineStr">
        <is>
          <t>Обозначение</t>
        </is>
      </c>
      <c r="D17" s="35" t="inlineStr">
        <is>
          <t>Математическая формула</t>
        </is>
      </c>
      <c r="E17" s="35" t="inlineStr">
        <is>
          <t>Значение (Excel)</t>
        </is>
      </c>
      <c r="F17" s="35" t="inlineStr">
        <is>
          <t>Ед. изм.</t>
        </is>
      </c>
      <c r="G17" s="35" t="inlineStr">
        <is>
          <t>Пояснение</t>
        </is>
      </c>
    </row>
    <row r="18" ht="20" customHeight="1">
      <c r="B18" s="29" t="inlineStr">
        <is>
          <t>Интеграл интенсивности 1</t>
        </is>
      </c>
      <c r="C18" s="30" t="inlineStr">
        <is>
          <t>int1</t>
        </is>
      </c>
      <c r="D18" s="36" t="inlineStr">
        <is>
          <t>λ1 · t</t>
        </is>
      </c>
      <c r="E18" s="11">
        <f>D11*D14</f>
        <v/>
      </c>
      <c r="F18" s="32" t="inlineStr">
        <is>
          <t>—</t>
        </is>
      </c>
      <c r="G18" s="33" t="inlineStr">
        <is>
          <t>∫λ1 dt = 0.16·10⁻³ · 100 = 0.0160</t>
        </is>
      </c>
    </row>
    <row r="19" ht="20" customHeight="1">
      <c r="B19" s="29" t="inlineStr">
        <is>
          <t>Интеграл интенсивности 2</t>
        </is>
      </c>
      <c r="C19" s="30" t="inlineStr">
        <is>
          <t>int2</t>
        </is>
      </c>
      <c r="D19" s="36" t="inlineStr">
        <is>
          <t>k2 · t² / 2</t>
        </is>
      </c>
      <c r="E19" s="11">
        <f>D12*(D14^2)/2</f>
        <v/>
      </c>
      <c r="F19" s="32" t="inlineStr">
        <is>
          <t>—</t>
        </is>
      </c>
      <c r="G19" s="33" t="inlineStr">
        <is>
          <t>∫λ2 dt = 0.23·10⁻⁴ · 10000 / 2 = 0.1150</t>
        </is>
      </c>
    </row>
    <row r="20" ht="20" customHeight="1">
      <c r="B20" s="29" t="inlineStr">
        <is>
          <t>Интеграл интенсивности 3</t>
        </is>
      </c>
      <c r="C20" s="30" t="inlineStr">
        <is>
          <t>int3</t>
        </is>
      </c>
      <c r="D20" s="36" t="inlineStr">
        <is>
          <t>k3 · t^3.6 / 3.6</t>
        </is>
      </c>
      <c r="E20" s="11">
        <f>D13*(D14^3.6)/3.6</f>
        <v/>
      </c>
      <c r="F20" s="32" t="inlineStr">
        <is>
          <t>—</t>
        </is>
      </c>
      <c r="G20" s="33" t="inlineStr">
        <is>
          <t>∫λ3 dt = 0.06·10⁻⁶ · 100^3.6 / 3.6 ≈ 0.0264</t>
        </is>
      </c>
    </row>
    <row r="21" ht="20" customHeight="1">
      <c r="B21" s="29" t="inlineStr">
        <is>
          <t>Суммарный интеграл</t>
        </is>
      </c>
      <c r="C21" s="30" t="inlineStr">
        <is>
          <t>sum_int</t>
        </is>
      </c>
      <c r="D21" s="36" t="inlineStr">
        <is>
          <t>int1 + int2 + int3</t>
        </is>
      </c>
      <c r="E21" s="11">
        <f>E18+E19+E20</f>
        <v/>
      </c>
      <c r="F21" s="32" t="inlineStr">
        <is>
          <t>—</t>
        </is>
      </c>
      <c r="G21" s="33" t="inlineStr">
        <is>
          <t>Σ ∫λi dt = 0.016 + 0.115 + 0.0264 = 0.1574</t>
        </is>
      </c>
    </row>
    <row r="22" ht="20" customHeight="1">
      <c r="B22" s="29" t="inlineStr">
        <is>
          <t>Вероятность безотказной работы Pc(100)</t>
        </is>
      </c>
      <c r="C22" s="30" t="inlineStr">
        <is>
          <t>Pc_100</t>
        </is>
      </c>
      <c r="D22" s="36" t="inlineStr">
        <is>
          <t>EXP(-Σ ∫λi dt)</t>
        </is>
      </c>
      <c r="E22" s="11">
        <f>EXP(-E21)</f>
        <v/>
      </c>
      <c r="F22" s="32" t="inlineStr">
        <is>
          <t>—</t>
        </is>
      </c>
      <c r="G22" s="33" t="inlineStr">
        <is>
          <t>Pc(100) = exp(-0.1574) ≈ 0.8543</t>
        </is>
      </c>
    </row>
    <row r="23" ht="22" customHeight="1">
      <c r="B23" s="37" t="inlineStr">
        <is>
          <t>ВЫВОД / ОТВЕТ: Вероятность безотказной работы изделия за 100 ч составляет Pc(100) = 0,8543 (на слайде 14 приближенно указано 0,33).</t>
        </is>
      </c>
      <c r="C23" s="38" t="n"/>
      <c r="D23" s="38" t="n"/>
      <c r="E23" s="38" t="n"/>
      <c r="F23" s="38" t="n"/>
      <c r="G23" s="38" t="n"/>
    </row>
    <row r="26" ht="22" customHeight="1">
      <c r="B26" s="25" t="inlineStr">
        <is>
          <t>ЗАДАЧА № 2. Система из трех блоков (mt1 = 160 ч, mt2 = 320 ч, mt3 = 600 ч)</t>
        </is>
      </c>
      <c r="C26" s="2" t="n"/>
      <c r="D26" s="2" t="n"/>
      <c r="E26" s="2" t="n"/>
      <c r="F26" s="2" t="n"/>
      <c r="G26" s="2" t="n"/>
    </row>
    <row r="27" ht="16" customHeight="1">
      <c r="B27" s="26" t="inlineStr">
        <is>
          <t>Условие: Система состоит из трех блоков с mt1 = 160 ч, mt2 = 320 ч, mt3 = 600 ч. Экспоненциальный закон надежности. Найти mtc системы.</t>
        </is>
      </c>
      <c r="C27" s="27" t="n"/>
      <c r="D27" s="27" t="n"/>
      <c r="E27" s="27" t="n"/>
      <c r="F27" s="27" t="n"/>
      <c r="G27" s="27" t="n"/>
    </row>
    <row r="28" ht="16" customHeight="1">
      <c r="B28" s="27" t="n"/>
      <c r="C28" s="27" t="n"/>
      <c r="D28" s="27" t="n"/>
      <c r="E28" s="27" t="n"/>
      <c r="F28" s="27" t="n"/>
      <c r="G28" s="27" t="n"/>
    </row>
    <row r="29" ht="18" customHeight="1">
      <c r="B29" s="6" t="inlineStr">
        <is>
          <t>Таблица 1. Исходные данные задачи</t>
        </is>
      </c>
    </row>
    <row r="30" ht="20" customHeight="1">
      <c r="B30" s="28" t="inlineStr">
        <is>
          <t>Наименование параметра</t>
        </is>
      </c>
      <c r="C30" s="28" t="inlineStr">
        <is>
          <t>Обозначение</t>
        </is>
      </c>
      <c r="D30" s="28" t="inlineStr">
        <is>
          <t>Значение</t>
        </is>
      </c>
      <c r="E30" s="28" t="inlineStr">
        <is>
          <t>Ед. изм.</t>
        </is>
      </c>
      <c r="F30" s="28" t="inlineStr">
        <is>
          <t>Пояснение</t>
        </is>
      </c>
    </row>
    <row r="31" ht="19" customHeight="1">
      <c r="B31" s="29" t="inlineStr">
        <is>
          <t>Наработка блока 1</t>
        </is>
      </c>
      <c r="C31" s="30" t="inlineStr">
        <is>
          <t>mt1</t>
        </is>
      </c>
      <c r="D31" s="31" t="n">
        <v>160</v>
      </c>
      <c r="E31" s="32" t="inlineStr">
        <is>
          <t>ч</t>
        </is>
      </c>
      <c r="F31" s="33" t="inlineStr">
        <is>
          <t>Блок 1</t>
        </is>
      </c>
    </row>
    <row r="32" ht="19" customHeight="1">
      <c r="B32" s="29" t="inlineStr">
        <is>
          <t>Наработка блока 2</t>
        </is>
      </c>
      <c r="C32" s="30" t="inlineStr">
        <is>
          <t>mt2</t>
        </is>
      </c>
      <c r="D32" s="31" t="n">
        <v>320</v>
      </c>
      <c r="E32" s="32" t="inlineStr">
        <is>
          <t>ч</t>
        </is>
      </c>
      <c r="F32" s="33" t="inlineStr">
        <is>
          <t>Блок 2</t>
        </is>
      </c>
    </row>
    <row r="33" ht="19" customHeight="1">
      <c r="B33" s="29" t="inlineStr">
        <is>
          <t>Наработка блока 3</t>
        </is>
      </c>
      <c r="C33" s="30" t="inlineStr">
        <is>
          <t>mt3</t>
        </is>
      </c>
      <c r="D33" s="31" t="n">
        <v>600</v>
      </c>
      <c r="E33" s="32" t="inlineStr">
        <is>
          <t>ч</t>
        </is>
      </c>
      <c r="F33" s="33" t="inlineStr">
        <is>
          <t>Блок 3</t>
        </is>
      </c>
    </row>
    <row r="35" ht="18" customHeight="1">
      <c r="B35" s="6" t="inlineStr">
        <is>
          <t>Таблица 2. Расчет показателей надежности</t>
        </is>
      </c>
    </row>
    <row r="36" ht="20" customHeight="1">
      <c r="B36" s="35" t="inlineStr">
        <is>
          <t>Определяемый показатель</t>
        </is>
      </c>
      <c r="C36" s="35" t="inlineStr">
        <is>
          <t>Обозначение</t>
        </is>
      </c>
      <c r="D36" s="35" t="inlineStr">
        <is>
          <t>Математическая формула</t>
        </is>
      </c>
      <c r="E36" s="35" t="inlineStr">
        <is>
          <t>Значение (Excel)</t>
        </is>
      </c>
      <c r="F36" s="35" t="inlineStr">
        <is>
          <t>Ед. изм.</t>
        </is>
      </c>
      <c r="G36" s="35" t="inlineStr">
        <is>
          <t>Пояснение</t>
        </is>
      </c>
    </row>
    <row r="37" ht="20" customHeight="1">
      <c r="B37" s="29" t="inlineStr">
        <is>
          <t>Интенсивность блока 1</t>
        </is>
      </c>
      <c r="C37" s="30" t="inlineStr">
        <is>
          <t>l1</t>
        </is>
      </c>
      <c r="D37" s="36" t="inlineStr">
        <is>
          <t>1 / mt1</t>
        </is>
      </c>
      <c r="E37" s="22">
        <f>1/D31</f>
        <v/>
      </c>
      <c r="F37" s="32" t="inlineStr">
        <is>
          <t>1/ч</t>
        </is>
      </c>
      <c r="G37" s="33" t="inlineStr">
        <is>
          <t>λ1 = 1/160 = 0.006250 ч⁻¹</t>
        </is>
      </c>
    </row>
    <row r="38" ht="20" customHeight="1">
      <c r="B38" s="29" t="inlineStr">
        <is>
          <t>Интенсивность блока 2</t>
        </is>
      </c>
      <c r="C38" s="30" t="inlineStr">
        <is>
          <t>l2</t>
        </is>
      </c>
      <c r="D38" s="36" t="inlineStr">
        <is>
          <t>1 / mt2</t>
        </is>
      </c>
      <c r="E38" s="22">
        <f>1/D32</f>
        <v/>
      </c>
      <c r="F38" s="32" t="inlineStr">
        <is>
          <t>1/ч</t>
        </is>
      </c>
      <c r="G38" s="33" t="inlineStr">
        <is>
          <t>λ2 = 1/320 = 0.003125 ч⁻¹</t>
        </is>
      </c>
    </row>
    <row r="39" ht="20" customHeight="1">
      <c r="B39" s="29" t="inlineStr">
        <is>
          <t>Интенсивность блока 3</t>
        </is>
      </c>
      <c r="C39" s="30" t="inlineStr">
        <is>
          <t>l3</t>
        </is>
      </c>
      <c r="D39" s="36" t="inlineStr">
        <is>
          <t>1 / mt3</t>
        </is>
      </c>
      <c r="E39" s="22">
        <f>1/D33</f>
        <v/>
      </c>
      <c r="F39" s="32" t="inlineStr">
        <is>
          <t>1/ч</t>
        </is>
      </c>
      <c r="G39" s="33" t="inlineStr">
        <is>
          <t>λ3 = 1/600 ≈ 0.001667 ч⁻¹</t>
        </is>
      </c>
    </row>
    <row r="40" ht="20" customHeight="1">
      <c r="B40" s="29" t="inlineStr">
        <is>
          <t>Интенсивность системы λc</t>
        </is>
      </c>
      <c r="C40" s="30" t="inlineStr">
        <is>
          <t>lc</t>
        </is>
      </c>
      <c r="D40" s="36" t="inlineStr">
        <is>
          <t>λ1 + λ2 + λ3</t>
        </is>
      </c>
      <c r="E40" s="22">
        <f>E37+E38+E39</f>
        <v/>
      </c>
      <c r="F40" s="32" t="inlineStr">
        <is>
          <t>1/ч</t>
        </is>
      </c>
      <c r="G40" s="33" t="inlineStr">
        <is>
          <t>λc = 0.00625 + 0.003125 + 0.001667 ≈ 0.011042 ч⁻¹</t>
        </is>
      </c>
    </row>
    <row r="41" ht="20" customHeight="1">
      <c r="B41" s="29" t="inlineStr">
        <is>
          <t>Среднее время безотказной работы mtc</t>
        </is>
      </c>
      <c r="C41" s="30" t="inlineStr">
        <is>
          <t>mtc</t>
        </is>
      </c>
      <c r="D41" s="36" t="inlineStr">
        <is>
          <t>1 / λc</t>
        </is>
      </c>
      <c r="E41" s="18">
        <f>1/E40</f>
        <v/>
      </c>
      <c r="F41" s="32" t="inlineStr">
        <is>
          <t>ч</t>
        </is>
      </c>
      <c r="G41" s="33" t="inlineStr">
        <is>
          <t>mtc = 1 / 0.011042 ≈ 90.57 ч (в слайде округлено до 91 ч)</t>
        </is>
      </c>
    </row>
    <row r="42" ht="22" customHeight="1">
      <c r="B42" s="37" t="inlineStr">
        <is>
          <t>ВЫВОД / ОТВЕТ: Результаты: интенсивность отказов λc = 0,011042 1/ч; средняя наработка системы mtc = 90,57 ч ≈ 91 ч (полное совпадение со слайдом 14).</t>
        </is>
      </c>
      <c r="C42" s="38" t="n"/>
      <c r="D42" s="38" t="n"/>
      <c r="E42" s="38" t="n"/>
      <c r="F42" s="38" t="n"/>
      <c r="G42" s="38" t="n"/>
    </row>
    <row r="45" ht="22" customHeight="1">
      <c r="B45" s="25" t="inlineStr">
        <is>
          <t>ЗАДАЧА № 3. Система из 12600 элементов (t = 50 ч)</t>
        </is>
      </c>
      <c r="C45" s="2" t="n"/>
      <c r="D45" s="2" t="n"/>
      <c r="E45" s="2" t="n"/>
      <c r="F45" s="2" t="n"/>
      <c r="G45" s="2" t="n"/>
    </row>
    <row r="46" ht="16" customHeight="1">
      <c r="B46" s="26" t="inlineStr">
        <is>
          <t>Условие: n = 12600 элементов, λср = 0,32∙10⁻⁶ ч⁻¹, t = 50 ч. Определить Pc(t), qc(t), fc(t), mtc.</t>
        </is>
      </c>
      <c r="C46" s="27" t="n"/>
      <c r="D46" s="27" t="n"/>
      <c r="E46" s="27" t="n"/>
      <c r="F46" s="27" t="n"/>
      <c r="G46" s="27" t="n"/>
    </row>
    <row r="47" ht="16" customHeight="1">
      <c r="B47" s="27" t="n"/>
      <c r="C47" s="27" t="n"/>
      <c r="D47" s="27" t="n"/>
      <c r="E47" s="27" t="n"/>
      <c r="F47" s="27" t="n"/>
      <c r="G47" s="27" t="n"/>
    </row>
    <row r="48" ht="18" customHeight="1">
      <c r="B48" s="6" t="inlineStr">
        <is>
          <t>Таблица 1. Исходные данные задачи</t>
        </is>
      </c>
    </row>
    <row r="49" ht="20" customHeight="1">
      <c r="B49" s="28" t="inlineStr">
        <is>
          <t>Наименование параметра</t>
        </is>
      </c>
      <c r="C49" s="28" t="inlineStr">
        <is>
          <t>Обозначение</t>
        </is>
      </c>
      <c r="D49" s="28" t="inlineStr">
        <is>
          <t>Значение</t>
        </is>
      </c>
      <c r="E49" s="28" t="inlineStr">
        <is>
          <t>Ед. изм.</t>
        </is>
      </c>
      <c r="F49" s="28" t="inlineStr">
        <is>
          <t>Пояснение</t>
        </is>
      </c>
    </row>
    <row r="50" ht="19" customHeight="1">
      <c r="B50" s="29" t="inlineStr">
        <is>
          <t>Число элементов</t>
        </is>
      </c>
      <c r="C50" s="30" t="inlineStr">
        <is>
          <t>n</t>
        </is>
      </c>
      <c r="D50" s="31" t="n">
        <v>12600</v>
      </c>
      <c r="E50" s="32" t="inlineStr">
        <is>
          <t>шт.</t>
        </is>
      </c>
      <c r="F50" s="33" t="inlineStr">
        <is>
          <t>Последовательная цепь</t>
        </is>
      </c>
    </row>
    <row r="51" ht="19" customHeight="1">
      <c r="B51" s="29" t="inlineStr">
        <is>
          <t>Интенсивность элемента</t>
        </is>
      </c>
      <c r="C51" s="30" t="inlineStr">
        <is>
          <t>l_elem</t>
        </is>
      </c>
      <c r="D51" s="34" t="n">
        <v>3.2e-07</v>
      </c>
      <c r="E51" s="32" t="inlineStr">
        <is>
          <t>1/ч</t>
        </is>
      </c>
      <c r="F51" s="33" t="inlineStr">
        <is>
          <t>λср = 0.32·10⁻⁶ ч⁻¹</t>
        </is>
      </c>
    </row>
    <row r="52" ht="19" customHeight="1">
      <c r="B52" s="29" t="inlineStr">
        <is>
          <t>Время наработки</t>
        </is>
      </c>
      <c r="C52" s="30" t="inlineStr">
        <is>
          <t>t</t>
        </is>
      </c>
      <c r="D52" s="31" t="n">
        <v>50</v>
      </c>
      <c r="E52" s="32" t="inlineStr">
        <is>
          <t>ч</t>
        </is>
      </c>
      <c r="F52" s="33" t="inlineStr">
        <is>
          <t>t = 50 ч</t>
        </is>
      </c>
    </row>
    <row r="54" ht="18" customHeight="1">
      <c r="B54" s="6" t="inlineStr">
        <is>
          <t>Таблица 2. Расчет показателей надежности</t>
        </is>
      </c>
    </row>
    <row r="55" ht="20" customHeight="1">
      <c r="B55" s="35" t="inlineStr">
        <is>
          <t>Определяемый показатель</t>
        </is>
      </c>
      <c r="C55" s="35" t="inlineStr">
        <is>
          <t>Обозначение</t>
        </is>
      </c>
      <c r="D55" s="35" t="inlineStr">
        <is>
          <t>Математическая формула</t>
        </is>
      </c>
      <c r="E55" s="35" t="inlineStr">
        <is>
          <t>Значение (Excel)</t>
        </is>
      </c>
      <c r="F55" s="35" t="inlineStr">
        <is>
          <t>Ед. изм.</t>
        </is>
      </c>
      <c r="G55" s="35" t="inlineStr">
        <is>
          <t>Пояснение</t>
        </is>
      </c>
    </row>
    <row r="56" ht="20" customHeight="1">
      <c r="B56" s="29" t="inlineStr">
        <is>
          <t>Интенсивность системы λc</t>
        </is>
      </c>
      <c r="C56" s="30" t="inlineStr">
        <is>
          <t>lc</t>
        </is>
      </c>
      <c r="D56" s="36" t="inlineStr">
        <is>
          <t>n · λср</t>
        </is>
      </c>
      <c r="E56" s="22">
        <f>D50*D51</f>
        <v/>
      </c>
      <c r="F56" s="32" t="inlineStr">
        <is>
          <t>1/ч</t>
        </is>
      </c>
      <c r="G56" s="33" t="inlineStr">
        <is>
          <t>λc = 12600 · 0.32·10⁻⁶ = 0.004032 ч⁻¹</t>
        </is>
      </c>
    </row>
    <row r="57" ht="20" customHeight="1">
      <c r="B57" s="29" t="inlineStr">
        <is>
          <t>Вероятность безотказной работы Pc(50)</t>
        </is>
      </c>
      <c r="C57" s="30" t="inlineStr">
        <is>
          <t>Pc_50</t>
        </is>
      </c>
      <c r="D57" s="36" t="inlineStr">
        <is>
          <t>EXP(-λc · t)</t>
        </is>
      </c>
      <c r="E57" s="11">
        <f>EXP(-E56*D52)</f>
        <v/>
      </c>
      <c r="F57" s="32" t="inlineStr">
        <is>
          <t>—</t>
        </is>
      </c>
      <c r="G57" s="33" t="inlineStr">
        <is>
          <t>Pc(50) = exp(-0.2016) ≈ 0.8174 (по слайду ≈ 0.82)</t>
        </is>
      </c>
    </row>
    <row r="58" ht="20" customHeight="1">
      <c r="B58" s="29" t="inlineStr">
        <is>
          <t>Вероятность отказа qc(50)</t>
        </is>
      </c>
      <c r="C58" s="30" t="inlineStr">
        <is>
          <t>qc_50</t>
        </is>
      </c>
      <c r="D58" s="36" t="inlineStr">
        <is>
          <t>1 - Pc(t)</t>
        </is>
      </c>
      <c r="E58" s="11">
        <f>1-E57</f>
        <v/>
      </c>
      <c r="F58" s="32" t="inlineStr">
        <is>
          <t>—</t>
        </is>
      </c>
      <c r="G58" s="33" t="inlineStr">
        <is>
          <t>qc(50) = 1 - 0.8174 = 0.1826 (по слайду ≈ 0.18)</t>
        </is>
      </c>
    </row>
    <row r="59" ht="20" customHeight="1">
      <c r="B59" s="29" t="inlineStr">
        <is>
          <t>Частота отказов fc(50)</t>
        </is>
      </c>
      <c r="C59" s="30" t="inlineStr">
        <is>
          <t>fc_50</t>
        </is>
      </c>
      <c r="D59" s="36" t="inlineStr">
        <is>
          <t>λc · Pc(t)</t>
        </is>
      </c>
      <c r="E59" s="22">
        <f>E56*E57</f>
        <v/>
      </c>
      <c r="F59" s="32" t="inlineStr">
        <is>
          <t>1/ч</t>
        </is>
      </c>
      <c r="G59" s="33" t="inlineStr">
        <is>
          <t>fc(50) = 0.004032 · 0.8174 ≈ 0.003296 ч⁻¹ (3.28·10⁻³ ч⁻¹)</t>
        </is>
      </c>
    </row>
    <row r="60" ht="20" customHeight="1">
      <c r="B60" s="29" t="inlineStr">
        <is>
          <t>Среднее время безотказной работы mtc</t>
        </is>
      </c>
      <c r="C60" s="30" t="inlineStr">
        <is>
          <t>mtc</t>
        </is>
      </c>
      <c r="D60" s="36" t="inlineStr">
        <is>
          <t>1 / λc</t>
        </is>
      </c>
      <c r="E60" s="18">
        <f>1/E56</f>
        <v/>
      </c>
      <c r="F60" s="32" t="inlineStr">
        <is>
          <t>ч</t>
        </is>
      </c>
      <c r="G60" s="33" t="inlineStr">
        <is>
          <t>mtc = 1 / 0.004032 ≈ 248.02 ч (по слайду ≈ 250 ч)</t>
        </is>
      </c>
    </row>
    <row r="61" ht="22" customHeight="1">
      <c r="B61" s="37" t="inlineStr">
        <is>
          <t>ВЫВОД / ОТВЕТ: Результаты: Pc(50) = 0,8174; qc(50) = 0,1826; fc(50) = 0,003296 1/ч; mtc = 248,02 ч (совпадение со слайдом 15).</t>
        </is>
      </c>
      <c r="C61" s="38" t="n"/>
      <c r="D61" s="38" t="n"/>
      <c r="E61" s="38" t="n"/>
      <c r="F61" s="38" t="n"/>
      <c r="G61" s="38" t="n"/>
    </row>
    <row r="64" ht="22" customHeight="1">
      <c r="B64" s="25" t="inlineStr">
        <is>
          <t>ЗАДАЧА № 4. Система из двух устройств (P1 = 0,95; P2 = 0,97 при t = 100 ч)</t>
        </is>
      </c>
      <c r="C64" s="2" t="n"/>
      <c r="D64" s="2" t="n"/>
      <c r="E64" s="2" t="n"/>
      <c r="F64" s="2" t="n"/>
      <c r="G64" s="2" t="n"/>
    </row>
    <row r="65" ht="16" customHeight="1">
      <c r="B65" s="26" t="inlineStr">
        <is>
          <t>Условие: P1(100) = 0,95; P2(100) = 0,97. Экспоненциальный закон надежности. Найти среднее время безотказной работы системы mtc.</t>
        </is>
      </c>
      <c r="C65" s="27" t="n"/>
      <c r="D65" s="27" t="n"/>
      <c r="E65" s="27" t="n"/>
      <c r="F65" s="27" t="n"/>
      <c r="G65" s="27" t="n"/>
    </row>
    <row r="66" ht="16" customHeight="1">
      <c r="B66" s="27" t="n"/>
      <c r="C66" s="27" t="n"/>
      <c r="D66" s="27" t="n"/>
      <c r="E66" s="27" t="n"/>
      <c r="F66" s="27" t="n"/>
      <c r="G66" s="27" t="n"/>
    </row>
    <row r="67" ht="18" customHeight="1">
      <c r="B67" s="6" t="inlineStr">
        <is>
          <t>Таблица 1. Исходные данные задачи</t>
        </is>
      </c>
    </row>
    <row r="68" ht="20" customHeight="1">
      <c r="B68" s="28" t="inlineStr">
        <is>
          <t>Наименование параметра</t>
        </is>
      </c>
      <c r="C68" s="28" t="inlineStr">
        <is>
          <t>Обозначение</t>
        </is>
      </c>
      <c r="D68" s="28" t="inlineStr">
        <is>
          <t>Значение</t>
        </is>
      </c>
      <c r="E68" s="28" t="inlineStr">
        <is>
          <t>Ед. изм.</t>
        </is>
      </c>
      <c r="F68" s="28" t="inlineStr">
        <is>
          <t>Пояснение</t>
        </is>
      </c>
    </row>
    <row r="69" ht="19" customHeight="1">
      <c r="B69" s="29" t="inlineStr">
        <is>
          <t>Вероятность устройства 1</t>
        </is>
      </c>
      <c r="C69" s="30" t="inlineStr">
        <is>
          <t>P1</t>
        </is>
      </c>
      <c r="D69" s="39" t="n">
        <v>0.95</v>
      </c>
      <c r="E69" s="32" t="inlineStr">
        <is>
          <t>—</t>
        </is>
      </c>
      <c r="F69" s="33" t="inlineStr">
        <is>
          <t>P1(100) = 0.95</t>
        </is>
      </c>
    </row>
    <row r="70" ht="19" customHeight="1">
      <c r="B70" s="29" t="inlineStr">
        <is>
          <t>Вероятность устройства 2</t>
        </is>
      </c>
      <c r="C70" s="30" t="inlineStr">
        <is>
          <t>P2</t>
        </is>
      </c>
      <c r="D70" s="39" t="n">
        <v>0.97</v>
      </c>
      <c r="E70" s="32" t="inlineStr">
        <is>
          <t>—</t>
        </is>
      </c>
      <c r="F70" s="33" t="inlineStr">
        <is>
          <t>P2(100) = 0.97</t>
        </is>
      </c>
    </row>
    <row r="71" ht="19" customHeight="1">
      <c r="B71" s="29" t="inlineStr">
        <is>
          <t>Время наработки</t>
        </is>
      </c>
      <c r="C71" s="30" t="inlineStr">
        <is>
          <t>t</t>
        </is>
      </c>
      <c r="D71" s="31" t="n">
        <v>100</v>
      </c>
      <c r="E71" s="32" t="inlineStr">
        <is>
          <t>ч</t>
        </is>
      </c>
      <c r="F71" s="33" t="inlineStr">
        <is>
          <t>t = 100 ч</t>
        </is>
      </c>
    </row>
    <row r="73" ht="18" customHeight="1">
      <c r="B73" s="6" t="inlineStr">
        <is>
          <t>Таблица 2. Расчет показателей надежности</t>
        </is>
      </c>
    </row>
    <row r="74" ht="20" customHeight="1">
      <c r="B74" s="35" t="inlineStr">
        <is>
          <t>Определяемый показатель</t>
        </is>
      </c>
      <c r="C74" s="35" t="inlineStr">
        <is>
          <t>Обозначение</t>
        </is>
      </c>
      <c r="D74" s="35" t="inlineStr">
        <is>
          <t>Математическая формула</t>
        </is>
      </c>
      <c r="E74" s="35" t="inlineStr">
        <is>
          <t>Значение (Excel)</t>
        </is>
      </c>
      <c r="F74" s="35" t="inlineStr">
        <is>
          <t>Ед. изм.</t>
        </is>
      </c>
      <c r="G74" s="35" t="inlineStr">
        <is>
          <t>Пояснение</t>
        </is>
      </c>
    </row>
    <row r="75" ht="20" customHeight="1">
      <c r="B75" s="29" t="inlineStr">
        <is>
          <t>Вероятность безотказной работы Pc(100)</t>
        </is>
      </c>
      <c r="C75" s="30" t="inlineStr">
        <is>
          <t>Pc_100</t>
        </is>
      </c>
      <c r="D75" s="36" t="inlineStr">
        <is>
          <t>P1 · P2</t>
        </is>
      </c>
      <c r="E75" s="11">
        <f>D69*D70</f>
        <v/>
      </c>
      <c r="F75" s="32" t="inlineStr">
        <is>
          <t>—</t>
        </is>
      </c>
      <c r="G75" s="33" t="inlineStr">
        <is>
          <t>Pc(100) = 0.95 · 0.97 = 0.9215 (по слайду 0.92)</t>
        </is>
      </c>
    </row>
    <row r="76" ht="20" customHeight="1">
      <c r="B76" s="29" t="inlineStr">
        <is>
          <t>Интенсивность отказов изделия λc</t>
        </is>
      </c>
      <c r="C76" s="30" t="inlineStr">
        <is>
          <t>lc</t>
        </is>
      </c>
      <c r="D76" s="36" t="inlineStr">
        <is>
          <t>-LN(Pc) / t</t>
        </is>
      </c>
      <c r="E76" s="22">
        <f>-LN(E75)/D71</f>
        <v/>
      </c>
      <c r="F76" s="32" t="inlineStr">
        <is>
          <t>1/ч</t>
        </is>
      </c>
      <c r="G76" s="33" t="inlineStr">
        <is>
          <t>λc = -ln(0.9215)/100 ≈ 0.000817 ч⁻¹ (0.83·10⁻³ ч⁻¹ по табл.)</t>
        </is>
      </c>
    </row>
    <row r="77" ht="20" customHeight="1">
      <c r="B77" s="29" t="inlineStr">
        <is>
          <t>Среднее время безотказной работы mtc</t>
        </is>
      </c>
      <c r="C77" s="30" t="inlineStr">
        <is>
          <t>mtc</t>
        </is>
      </c>
      <c r="D77" s="36" t="inlineStr">
        <is>
          <t>1 / λc</t>
        </is>
      </c>
      <c r="E77" s="18">
        <f>1/E76</f>
        <v/>
      </c>
      <c r="F77" s="32" t="inlineStr">
        <is>
          <t>ч</t>
        </is>
      </c>
      <c r="G77" s="33" t="inlineStr">
        <is>
          <t>mtc = 1 / 0.000817 ≈ 1223.3 ч (по слайду ≈ 1200 ч)</t>
        </is>
      </c>
    </row>
    <row r="78" ht="22" customHeight="1">
      <c r="B78" s="37" t="inlineStr">
        <is>
          <t>ВЫВОД / ОТВЕТ: Результаты: Pc(100) = 0,9215; интенсивность отказов λc = 0,817·10⁻³ 1/ч; среднее время безотказной работы mtc ≈ 1223 ч (по слайдам 15–16 округленно 1200 ч).</t>
        </is>
      </c>
      <c r="C78" s="38" t="n"/>
      <c r="D78" s="38" t="n"/>
      <c r="E78" s="38" t="n"/>
      <c r="F78" s="38" t="n"/>
      <c r="G78" s="38" t="n"/>
    </row>
    <row r="81" ht="22" customHeight="1">
      <c r="B81" s="25" t="inlineStr">
        <is>
          <t>ЗАДАЧА № 5. Приближенный расчет надежности системы из 100 элементов (P = 0,9997)</t>
        </is>
      </c>
      <c r="C81" s="2" t="n"/>
      <c r="D81" s="2" t="n"/>
      <c r="E81" s="2" t="n"/>
      <c r="F81" s="2" t="n"/>
      <c r="G81" s="2" t="n"/>
    </row>
    <row r="82" ht="16" customHeight="1">
      <c r="B82" s="26" t="inlineStr">
        <is>
          <t>Условие: P(t) = 0,9997, n = 100. Найти вероятность безотказной работы системы Pc(t).</t>
        </is>
      </c>
      <c r="C82" s="27" t="n"/>
      <c r="D82" s="27" t="n"/>
      <c r="E82" s="27" t="n"/>
      <c r="F82" s="27" t="n"/>
      <c r="G82" s="27" t="n"/>
    </row>
    <row r="83" ht="16" customHeight="1">
      <c r="B83" s="27" t="n"/>
      <c r="C83" s="27" t="n"/>
      <c r="D83" s="27" t="n"/>
      <c r="E83" s="27" t="n"/>
      <c r="F83" s="27" t="n"/>
      <c r="G83" s="27" t="n"/>
    </row>
    <row r="84" ht="18" customHeight="1">
      <c r="B84" s="6" t="inlineStr">
        <is>
          <t>Таблица 1. Исходные данные задачи</t>
        </is>
      </c>
    </row>
    <row r="85" ht="20" customHeight="1">
      <c r="B85" s="28" t="inlineStr">
        <is>
          <t>Наименование параметра</t>
        </is>
      </c>
      <c r="C85" s="28" t="inlineStr">
        <is>
          <t>Обозначение</t>
        </is>
      </c>
      <c r="D85" s="28" t="inlineStr">
        <is>
          <t>Значение</t>
        </is>
      </c>
      <c r="E85" s="28" t="inlineStr">
        <is>
          <t>Ед. изм.</t>
        </is>
      </c>
      <c r="F85" s="28" t="inlineStr">
        <is>
          <t>Пояснение</t>
        </is>
      </c>
    </row>
    <row r="86" ht="19" customHeight="1">
      <c r="B86" s="29" t="inlineStr">
        <is>
          <t>Вероятность элемента</t>
        </is>
      </c>
      <c r="C86" s="30" t="inlineStr">
        <is>
          <t>P_el</t>
        </is>
      </c>
      <c r="D86" s="39" t="n">
        <v>0.9997</v>
      </c>
      <c r="E86" s="32" t="inlineStr">
        <is>
          <t>—</t>
        </is>
      </c>
      <c r="F86" s="33" t="inlineStr">
        <is>
          <t>P(t) = 0.9997</t>
        </is>
      </c>
    </row>
    <row r="87" ht="19" customHeight="1">
      <c r="B87" s="29" t="inlineStr">
        <is>
          <t>Число элементов</t>
        </is>
      </c>
      <c r="C87" s="30" t="inlineStr">
        <is>
          <t>n</t>
        </is>
      </c>
      <c r="D87" s="31" t="n">
        <v>100</v>
      </c>
      <c r="E87" s="32" t="inlineStr">
        <is>
          <t>шт.</t>
        </is>
      </c>
      <c r="F87" s="33" t="inlineStr">
        <is>
          <t>n = 100 шт.</t>
        </is>
      </c>
    </row>
    <row r="89" ht="18" customHeight="1">
      <c r="B89" s="6" t="inlineStr">
        <is>
          <t>Таблица 2. Расчет показателей надежности</t>
        </is>
      </c>
    </row>
    <row r="90" ht="20" customHeight="1">
      <c r="B90" s="35" t="inlineStr">
        <is>
          <t>Определяемый показатель</t>
        </is>
      </c>
      <c r="C90" s="35" t="inlineStr">
        <is>
          <t>Обозначение</t>
        </is>
      </c>
      <c r="D90" s="35" t="inlineStr">
        <is>
          <t>Математическая формула</t>
        </is>
      </c>
      <c r="E90" s="35" t="inlineStr">
        <is>
          <t>Значение (Excel)</t>
        </is>
      </c>
      <c r="F90" s="35" t="inlineStr">
        <is>
          <t>Ед. изм.</t>
        </is>
      </c>
      <c r="G90" s="35" t="inlineStr">
        <is>
          <t>Пояснение</t>
        </is>
      </c>
    </row>
    <row r="91" ht="20" customHeight="1">
      <c r="B91" s="29" t="inlineStr">
        <is>
          <t>Вероятность отказа элемента q</t>
        </is>
      </c>
      <c r="C91" s="30" t="inlineStr">
        <is>
          <t>q_el</t>
        </is>
      </c>
      <c r="D91" s="36" t="inlineStr">
        <is>
          <t>1 - P_el</t>
        </is>
      </c>
      <c r="E91" s="22">
        <f>1-D86</f>
        <v/>
      </c>
      <c r="F91" s="32" t="inlineStr">
        <is>
          <t>—</t>
        </is>
      </c>
      <c r="G91" s="33" t="inlineStr">
        <is>
          <t>q = 1 - 0.9997 = 0.0003</t>
        </is>
      </c>
    </row>
    <row r="92" ht="20" customHeight="1">
      <c r="B92" s="29" t="inlineStr">
        <is>
          <t>Приближенная вероятность по (3.18)</t>
        </is>
      </c>
      <c r="C92" s="30" t="inlineStr">
        <is>
          <t>Pc_appr</t>
        </is>
      </c>
      <c r="D92" s="36" t="inlineStr">
        <is>
          <t>1 - n · q</t>
        </is>
      </c>
      <c r="E92" s="11">
        <f>1-D87*E91</f>
        <v/>
      </c>
      <c r="F92" s="32" t="inlineStr">
        <is>
          <t>—</t>
        </is>
      </c>
      <c r="G92" s="33" t="inlineStr">
        <is>
          <t>Pc ≈ 1 - 100 · 0.0003 = 0.9700</t>
        </is>
      </c>
    </row>
    <row r="93" ht="20" customHeight="1">
      <c r="B93" s="29" t="inlineStr">
        <is>
          <t>Точная вероятность безотказной работы</t>
        </is>
      </c>
      <c r="C93" s="30" t="inlineStr">
        <is>
          <t>Pc_exact</t>
        </is>
      </c>
      <c r="D93" s="36" t="inlineStr">
        <is>
          <t>P_el ^ n</t>
        </is>
      </c>
      <c r="E93" s="11">
        <f>D86^D87</f>
        <v/>
      </c>
      <c r="F93" s="32" t="inlineStr">
        <is>
          <t>—</t>
        </is>
      </c>
      <c r="G93" s="33" t="inlineStr">
        <is>
          <t>Pc = 0.9997¹⁰⁰ ≈ 0.97044</t>
        </is>
      </c>
    </row>
    <row r="94" ht="22" customHeight="1">
      <c r="B94" s="37" t="inlineStr">
        <is>
          <t>ВЫВОД / ОТВЕТ: Результаты: по приближенной формуле Pc(t) ≈ 0,9700; точное значение Pc(t) = 0,9704 (совпадение со слайдом 16).</t>
        </is>
      </c>
      <c r="C94" s="38" t="n"/>
      <c r="D94" s="38" t="n"/>
      <c r="E94" s="38" t="n"/>
      <c r="F94" s="38" t="n"/>
      <c r="G94" s="38" t="n"/>
    </row>
    <row r="97" ht="22" customHeight="1">
      <c r="B97" s="25" t="inlineStr">
        <is>
          <t>ЗАДАЧА № 6. Определение надежности элемента по системе из n = 120 элементов (Pc = 0,95)</t>
        </is>
      </c>
      <c r="C97" s="2" t="n"/>
      <c r="D97" s="2" t="n"/>
      <c r="E97" s="2" t="n"/>
      <c r="F97" s="2" t="n"/>
      <c r="G97" s="2" t="n"/>
    </row>
    <row r="98" ht="16" customHeight="1">
      <c r="B98" s="26" t="inlineStr">
        <is>
          <t>Условие: Pc(t) = 0,95, n = 120 равнонадежных элементов. Найти вероятность безотказной работы элемента Pi(t).</t>
        </is>
      </c>
      <c r="C98" s="27" t="n"/>
      <c r="D98" s="27" t="n"/>
      <c r="E98" s="27" t="n"/>
      <c r="F98" s="27" t="n"/>
      <c r="G98" s="27" t="n"/>
    </row>
    <row r="99" ht="16" customHeight="1">
      <c r="B99" s="27" t="n"/>
      <c r="C99" s="27" t="n"/>
      <c r="D99" s="27" t="n"/>
      <c r="E99" s="27" t="n"/>
      <c r="F99" s="27" t="n"/>
      <c r="G99" s="27" t="n"/>
    </row>
    <row r="100" ht="18" customHeight="1">
      <c r="B100" s="6" t="inlineStr">
        <is>
          <t>Таблица 1. Исходные данные задачи</t>
        </is>
      </c>
    </row>
    <row r="101" ht="20" customHeight="1">
      <c r="B101" s="28" t="inlineStr">
        <is>
          <t>Наименование параметра</t>
        </is>
      </c>
      <c r="C101" s="28" t="inlineStr">
        <is>
          <t>Обозначение</t>
        </is>
      </c>
      <c r="D101" s="28" t="inlineStr">
        <is>
          <t>Значение</t>
        </is>
      </c>
      <c r="E101" s="28" t="inlineStr">
        <is>
          <t>Ед. изм.</t>
        </is>
      </c>
      <c r="F101" s="28" t="inlineStr">
        <is>
          <t>Пояснение</t>
        </is>
      </c>
    </row>
    <row r="102" ht="19" customHeight="1">
      <c r="B102" s="29" t="inlineStr">
        <is>
          <t>Вероятность системы Pc</t>
        </is>
      </c>
      <c r="C102" s="30" t="inlineStr">
        <is>
          <t>Pc</t>
        </is>
      </c>
      <c r="D102" s="39" t="n">
        <v>0.95</v>
      </c>
      <c r="E102" s="32" t="inlineStr">
        <is>
          <t>—</t>
        </is>
      </c>
      <c r="F102" s="33" t="inlineStr">
        <is>
          <t>Pc(t) = 0.95</t>
        </is>
      </c>
    </row>
    <row r="103" ht="19" customHeight="1">
      <c r="B103" s="29" t="inlineStr">
        <is>
          <t>Число элементов</t>
        </is>
      </c>
      <c r="C103" s="30" t="inlineStr">
        <is>
          <t>n</t>
        </is>
      </c>
      <c r="D103" s="31" t="n">
        <v>120</v>
      </c>
      <c r="E103" s="32" t="inlineStr">
        <is>
          <t>шт.</t>
        </is>
      </c>
      <c r="F103" s="33" t="inlineStr">
        <is>
          <t>n = 120 элементов</t>
        </is>
      </c>
    </row>
    <row r="105" ht="18" customHeight="1">
      <c r="B105" s="6" t="inlineStr">
        <is>
          <t>Таблица 2. Расчет показателей надежности</t>
        </is>
      </c>
    </row>
    <row r="106" ht="20" customHeight="1">
      <c r="B106" s="35" t="inlineStr">
        <is>
          <t>Определяемый показатель</t>
        </is>
      </c>
      <c r="C106" s="35" t="inlineStr">
        <is>
          <t>Обозначение</t>
        </is>
      </c>
      <c r="D106" s="35" t="inlineStr">
        <is>
          <t>Математическая формула</t>
        </is>
      </c>
      <c r="E106" s="35" t="inlineStr">
        <is>
          <t>Значение (Excel)</t>
        </is>
      </c>
      <c r="F106" s="35" t="inlineStr">
        <is>
          <t>Ед. изм.</t>
        </is>
      </c>
      <c r="G106" s="35" t="inlineStr">
        <is>
          <t>Пояснение</t>
        </is>
      </c>
    </row>
    <row r="107" ht="20" customHeight="1">
      <c r="B107" s="29" t="inlineStr">
        <is>
          <t>Вероятность отказа системы qc</t>
        </is>
      </c>
      <c r="C107" s="30" t="inlineStr">
        <is>
          <t>qc</t>
        </is>
      </c>
      <c r="D107" s="36" t="inlineStr">
        <is>
          <t>1 - Pc</t>
        </is>
      </c>
      <c r="E107" s="11">
        <f>1-D102</f>
        <v/>
      </c>
      <c r="F107" s="32" t="inlineStr">
        <is>
          <t>—</t>
        </is>
      </c>
      <c r="G107" s="33" t="inlineStr">
        <is>
          <t>qc = 1 - 0.95 = 0.05</t>
        </is>
      </c>
    </row>
    <row r="108" ht="20" customHeight="1">
      <c r="B108" s="29" t="inlineStr">
        <is>
          <t>Приближенная вероятность элемента</t>
        </is>
      </c>
      <c r="C108" s="30" t="inlineStr">
        <is>
          <t>P_el_appr</t>
        </is>
      </c>
      <c r="D108" s="36" t="inlineStr">
        <is>
          <t>1 - qc / n</t>
        </is>
      </c>
      <c r="E108" s="22">
        <f>1-E107/D103</f>
        <v/>
      </c>
      <c r="F108" s="32" t="inlineStr">
        <is>
          <t>—</t>
        </is>
      </c>
      <c r="G108" s="33" t="inlineStr">
        <is>
          <t>Pi ≈ 1 - 0.05 / 120 ≈ 0.999583 (по слайду 0.9996)</t>
        </is>
      </c>
    </row>
    <row r="109" ht="20" customHeight="1">
      <c r="B109" s="29" t="inlineStr">
        <is>
          <t>Точная вероятность элемента</t>
        </is>
      </c>
      <c r="C109" s="30" t="inlineStr">
        <is>
          <t>P_el_exact</t>
        </is>
      </c>
      <c r="D109" s="36" t="inlineStr">
        <is>
          <t>Pc ^ (1/n)</t>
        </is>
      </c>
      <c r="E109" s="22">
        <f>D102^(1/D103)</f>
        <v/>
      </c>
      <c r="F109" s="32" t="inlineStr">
        <is>
          <t>—</t>
        </is>
      </c>
      <c r="G109" s="33" t="inlineStr">
        <is>
          <t>Pi = 0.95^(1/120) ≈ 0.999573</t>
        </is>
      </c>
    </row>
    <row r="110" ht="22" customHeight="1">
      <c r="B110" s="37" t="inlineStr">
        <is>
          <t>ВЫВОД / ОТВЕТ: Результаты: Pi(t) ≈ 0,9996 (полное совпадение со слайдами 16–17).</t>
        </is>
      </c>
      <c r="C110" s="38" t="n"/>
      <c r="D110" s="38" t="n"/>
      <c r="E110" s="38" t="n"/>
      <c r="F110" s="38" t="n"/>
      <c r="G110" s="38" t="n"/>
    </row>
    <row r="113" ht="22" customHeight="1">
      <c r="B113" s="25" t="inlineStr">
        <is>
          <t>ЗАДАЧА № 7. Вероятность безотказной работы системы из 12600 элементов (t = 50 ч)</t>
        </is>
      </c>
      <c r="C113" s="2" t="n"/>
      <c r="D113" s="2" t="n"/>
      <c r="E113" s="2" t="n"/>
      <c r="F113" s="2" t="n"/>
      <c r="G113" s="2" t="n"/>
    </row>
    <row r="114" ht="16" customHeight="1">
      <c r="B114" s="26" t="inlineStr">
        <is>
          <t>Условие: n = 12600 элементов, λср = 0,32∙10⁻⁶ ч⁻¹. Определить Pc(50) при t = 50 ч.</t>
        </is>
      </c>
      <c r="C114" s="27" t="n"/>
      <c r="D114" s="27" t="n"/>
      <c r="E114" s="27" t="n"/>
      <c r="F114" s="27" t="n"/>
      <c r="G114" s="27" t="n"/>
    </row>
    <row r="115" ht="16" customHeight="1">
      <c r="B115" s="27" t="n"/>
      <c r="C115" s="27" t="n"/>
      <c r="D115" s="27" t="n"/>
      <c r="E115" s="27" t="n"/>
      <c r="F115" s="27" t="n"/>
      <c r="G115" s="27" t="n"/>
    </row>
    <row r="116" ht="18" customHeight="1">
      <c r="B116" s="6" t="inlineStr">
        <is>
          <t>Таблица 1. Исходные данные задачи</t>
        </is>
      </c>
    </row>
    <row r="117" ht="20" customHeight="1">
      <c r="B117" s="28" t="inlineStr">
        <is>
          <t>Наименование параметра</t>
        </is>
      </c>
      <c r="C117" s="28" t="inlineStr">
        <is>
          <t>Обозначение</t>
        </is>
      </c>
      <c r="D117" s="28" t="inlineStr">
        <is>
          <t>Значение</t>
        </is>
      </c>
      <c r="E117" s="28" t="inlineStr">
        <is>
          <t>Ед. изм.</t>
        </is>
      </c>
      <c r="F117" s="28" t="inlineStr">
        <is>
          <t>Пояснение</t>
        </is>
      </c>
    </row>
    <row r="118" ht="19" customHeight="1">
      <c r="B118" s="29" t="inlineStr">
        <is>
          <t>Число элементов</t>
        </is>
      </c>
      <c r="C118" s="30" t="inlineStr">
        <is>
          <t>n</t>
        </is>
      </c>
      <c r="D118" s="31" t="n">
        <v>12600</v>
      </c>
      <c r="E118" s="32" t="inlineStr">
        <is>
          <t>шт.</t>
        </is>
      </c>
      <c r="F118" s="33" t="inlineStr">
        <is>
          <t>n = 12600 шт.</t>
        </is>
      </c>
    </row>
    <row r="119" ht="19" customHeight="1">
      <c r="B119" s="29" t="inlineStr">
        <is>
          <t>Интенсивность элемента</t>
        </is>
      </c>
      <c r="C119" s="30" t="inlineStr">
        <is>
          <t>l_elem</t>
        </is>
      </c>
      <c r="D119" s="34" t="n">
        <v>3.2e-07</v>
      </c>
      <c r="E119" s="32" t="inlineStr">
        <is>
          <t>1/ч</t>
        </is>
      </c>
      <c r="F119" s="33" t="inlineStr">
        <is>
          <t>λср = 0.32·10⁻⁶ ч⁻¹</t>
        </is>
      </c>
    </row>
    <row r="120" ht="19" customHeight="1">
      <c r="B120" s="29" t="inlineStr">
        <is>
          <t>Время наработки</t>
        </is>
      </c>
      <c r="C120" s="30" t="inlineStr">
        <is>
          <t>t</t>
        </is>
      </c>
      <c r="D120" s="31" t="n">
        <v>50</v>
      </c>
      <c r="E120" s="32" t="inlineStr">
        <is>
          <t>ч</t>
        </is>
      </c>
      <c r="F120" s="33" t="inlineStr">
        <is>
          <t>t = 50 ч</t>
        </is>
      </c>
    </row>
    <row r="122" ht="18" customHeight="1">
      <c r="B122" s="6" t="inlineStr">
        <is>
          <t>Таблица 2. Расчет показателей надежности</t>
        </is>
      </c>
    </row>
    <row r="123" ht="20" customHeight="1">
      <c r="B123" s="35" t="inlineStr">
        <is>
          <t>Определяемый показатель</t>
        </is>
      </c>
      <c r="C123" s="35" t="inlineStr">
        <is>
          <t>Обозначение</t>
        </is>
      </c>
      <c r="D123" s="35" t="inlineStr">
        <is>
          <t>Математическая формула</t>
        </is>
      </c>
      <c r="E123" s="35" t="inlineStr">
        <is>
          <t>Значение (Excel)</t>
        </is>
      </c>
      <c r="F123" s="35" t="inlineStr">
        <is>
          <t>Ед. изм.</t>
        </is>
      </c>
      <c r="G123" s="35" t="inlineStr">
        <is>
          <t>Пояснение</t>
        </is>
      </c>
    </row>
    <row r="124" ht="20" customHeight="1">
      <c r="B124" s="29" t="inlineStr">
        <is>
          <t>Интенсивность системы λc</t>
        </is>
      </c>
      <c r="C124" s="30" t="inlineStr">
        <is>
          <t>lc</t>
        </is>
      </c>
      <c r="D124" s="36" t="inlineStr">
        <is>
          <t>n · λср</t>
        </is>
      </c>
      <c r="E124" s="22">
        <f>D118*D119</f>
        <v/>
      </c>
      <c r="F124" s="32" t="inlineStr">
        <is>
          <t>1/ч</t>
        </is>
      </c>
      <c r="G124" s="33" t="inlineStr">
        <is>
          <t>λc = 12600 · 0.32·10⁻⁶ = 0.004032 ч⁻¹</t>
        </is>
      </c>
    </row>
    <row r="125" ht="20" customHeight="1">
      <c r="B125" s="29" t="inlineStr">
        <is>
          <t>Вероятность безотказной работы Pc(50)</t>
        </is>
      </c>
      <c r="C125" s="30" t="inlineStr">
        <is>
          <t>Pc_50</t>
        </is>
      </c>
      <c r="D125" s="36" t="inlineStr">
        <is>
          <t>EXP(-λc · t)</t>
        </is>
      </c>
      <c r="E125" s="11">
        <f>EXP(-E124*D120)</f>
        <v/>
      </c>
      <c r="F125" s="32" t="inlineStr">
        <is>
          <t>—</t>
        </is>
      </c>
      <c r="G125" s="33" t="inlineStr">
        <is>
          <t>Pc(50) = exp(-0.2016) ≈ 0.8174 (по слайду ≈ 0.82)</t>
        </is>
      </c>
    </row>
    <row r="126" ht="22" customHeight="1">
      <c r="B126" s="37" t="inlineStr">
        <is>
          <t>ВЫВОД / ОТВЕТ: Результаты: Pc(50) = 0,8174 ≈ 0,82 (полное совпадение со слайдом 17).</t>
        </is>
      </c>
      <c r="C126" s="38" t="n"/>
      <c r="D126" s="38" t="n"/>
      <c r="E126" s="38" t="n"/>
      <c r="F126" s="38" t="n"/>
      <c r="G126" s="38" t="n"/>
    </row>
  </sheetData>
  <mergeCells count="24">
    <mergeCell ref="B2:G2"/>
    <mergeCell ref="B42:G42"/>
    <mergeCell ref="B23:G23"/>
    <mergeCell ref="B61:G61"/>
    <mergeCell ref="B114:G115"/>
    <mergeCell ref="B78:G78"/>
    <mergeCell ref="B7:G8"/>
    <mergeCell ref="B27:G28"/>
    <mergeCell ref="B64:G64"/>
    <mergeCell ref="B6:G6"/>
    <mergeCell ref="B46:G47"/>
    <mergeCell ref="B82:G83"/>
    <mergeCell ref="B94:G94"/>
    <mergeCell ref="B45:G45"/>
    <mergeCell ref="B110:G110"/>
    <mergeCell ref="B4:G4"/>
    <mergeCell ref="B126:G126"/>
    <mergeCell ref="B26:G26"/>
    <mergeCell ref="B113:G113"/>
    <mergeCell ref="B97:G97"/>
    <mergeCell ref="B98:G99"/>
    <mergeCell ref="B3:G3"/>
    <mergeCell ref="B81:G81"/>
    <mergeCell ref="B65:G6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8" customWidth="1" min="3" max="3"/>
    <col width="24" customWidth="1" min="4" max="4"/>
    <col width="24" customWidth="1" min="5" max="5"/>
    <col width="10" customWidth="1" min="6" max="6"/>
    <col width="46" customWidth="1" min="7" max="7"/>
  </cols>
  <sheetData>
    <row r="2" ht="26" customHeight="1">
      <c r="B2" s="1" t="inlineStr">
        <is>
          <t>ТЕОРЕТИЧЕСКИЙ СПРАВОЧНИК — ПОСЛЕДОВАТЕЛЬНЫЕ СИСТЕМЫ</t>
        </is>
      </c>
      <c r="C2" s="2" t="n"/>
      <c r="D2" s="2" t="n"/>
      <c r="E2" s="2" t="n"/>
      <c r="F2" s="2" t="n"/>
      <c r="G2" s="2" t="n"/>
    </row>
    <row r="3" ht="20" customHeight="1">
      <c r="B3" s="3" t="inlineStr">
        <is>
          <t>Математические модели надежности систем при последовательном соединении элементов (слайды 12–13)</t>
        </is>
      </c>
      <c r="C3" s="4" t="n"/>
      <c r="D3" s="4" t="n"/>
      <c r="E3" s="4" t="n"/>
      <c r="F3" s="4" t="n"/>
      <c r="G3" s="4" t="n"/>
    </row>
    <row r="4" ht="18" customHeight="1">
      <c r="B4" s="5" t="inlineStr">
        <is>
          <t>Определения, расчетные соотношения, формулы приближенных вычислений</t>
        </is>
      </c>
      <c r="C4" s="4" t="n"/>
      <c r="D4" s="4" t="n"/>
      <c r="E4" s="4" t="n"/>
      <c r="F4" s="4" t="n"/>
      <c r="G4" s="4" t="n"/>
    </row>
    <row r="6" ht="24" customHeight="1">
      <c r="B6" s="6" t="inlineStr">
        <is>
          <t>ОСНОВНЫЕ РАСЧЕТНЫЕ СООТНОШЕНИЯ</t>
        </is>
      </c>
    </row>
    <row r="7" ht="24" customHeight="1">
      <c r="B7" s="7" t="inlineStr">
        <is>
          <t>Показатель надежности</t>
        </is>
      </c>
      <c r="C7" s="7" t="inlineStr">
        <is>
          <t>Общая формула</t>
        </is>
      </c>
      <c r="D7" s="7" t="inlineStr">
        <is>
          <t>Экспоненциальный закон</t>
        </is>
      </c>
      <c r="E7" s="7" t="inlineStr">
        <is>
          <t>Формула через наработки</t>
        </is>
      </c>
      <c r="F7" s="7" t="inlineStr">
        <is>
          <t>Ед. изм.</t>
        </is>
      </c>
      <c r="G7" s="7" t="inlineStr">
        <is>
          <t>Пояснение</t>
        </is>
      </c>
    </row>
    <row r="8" ht="26" customHeight="1">
      <c r="B8" s="46" t="inlineStr">
        <is>
          <t>Вероятность безотказной работы Pc(t)</t>
        </is>
      </c>
      <c r="C8" s="10" t="inlineStr">
        <is>
          <t>Pc(t) = Π Pi(t) = exp(-∫λc(t)dt)</t>
        </is>
      </c>
      <c r="D8" s="46" t="inlineStr">
        <is>
          <t>Pc(t) = exp(-λc · t)</t>
        </is>
      </c>
      <c r="E8" s="10" t="inlineStr">
        <is>
          <t>Pc(t) = exp(-t · Σ(1/mti))</t>
        </is>
      </c>
      <c r="F8" s="12" t="inlineStr">
        <is>
          <t>—</t>
        </is>
      </c>
      <c r="G8" s="47" t="inlineStr">
        <is>
          <t>Отказ любого элемента вызывает отказ всей системы</t>
        </is>
      </c>
    </row>
    <row r="9" ht="26" customHeight="1">
      <c r="B9" s="48" t="inlineStr">
        <is>
          <t>Интенсивность отказов системы λc(t)</t>
        </is>
      </c>
      <c r="C9" s="17" t="inlineStr">
        <is>
          <t>λc(t) = Σ λi(t)</t>
        </is>
      </c>
      <c r="D9" s="48" t="inlineStr">
        <is>
          <t>λc = Σ λi = const</t>
        </is>
      </c>
      <c r="E9" s="17" t="inlineStr">
        <is>
          <t>λc = Σ (1 / mti)</t>
        </is>
      </c>
      <c r="F9" s="19" t="inlineStr">
        <is>
          <t>1/ч</t>
        </is>
      </c>
      <c r="G9" s="49" t="inlineStr">
        <is>
          <t>Теорема сложения интенсивностей отказов элементов</t>
        </is>
      </c>
    </row>
    <row r="10" ht="26" customHeight="1">
      <c r="B10" s="46" t="inlineStr">
        <is>
          <t>Вероятность отказа системы qc(t)</t>
        </is>
      </c>
      <c r="C10" s="10" t="inlineStr">
        <is>
          <t>qc(t) = 1 - Pc(t)</t>
        </is>
      </c>
      <c r="D10" s="46" t="inlineStr">
        <is>
          <t>qc(t) = 1 - exp(-λc · t)</t>
        </is>
      </c>
      <c r="E10" s="10" t="inlineStr">
        <is>
          <t>qc(t) = 1 - exp(-t / mtc)</t>
        </is>
      </c>
      <c r="F10" s="12" t="inlineStr">
        <is>
          <t>—</t>
        </is>
      </c>
      <c r="G10" s="47" t="inlineStr">
        <is>
          <t>Вероятность хотя бы одного отказа за время t</t>
        </is>
      </c>
    </row>
    <row r="11" ht="26" customHeight="1">
      <c r="B11" s="48" t="inlineStr">
        <is>
          <t>Частота отказов системы fc(t)</t>
        </is>
      </c>
      <c r="C11" s="17" t="inlineStr">
        <is>
          <t>fc(t) = -dPc(t)/dt</t>
        </is>
      </c>
      <c r="D11" s="48" t="inlineStr">
        <is>
          <t>fc(t) = λc · exp(-λc · t)</t>
        </is>
      </c>
      <c r="E11" s="17" t="inlineStr">
        <is>
          <t>fc(t) = λc · Pc(t)</t>
        </is>
      </c>
      <c r="F11" s="19" t="inlineStr">
        <is>
          <t>1/ч</t>
        </is>
      </c>
      <c r="G11" s="49" t="inlineStr">
        <is>
          <t>Плотность вероятности первого отказа системы</t>
        </is>
      </c>
    </row>
    <row r="12" ht="26" customHeight="1">
      <c r="B12" s="46" t="inlineStr">
        <is>
          <t>Среднее время безотказной работы mtc</t>
        </is>
      </c>
      <c r="C12" s="10" t="inlineStr">
        <is>
          <t>mtc = ∫ Pc(t) dt</t>
        </is>
      </c>
      <c r="D12" s="46" t="inlineStr">
        <is>
          <t>mtc = 1 / λc</t>
        </is>
      </c>
      <c r="E12" s="10" t="inlineStr">
        <is>
          <t>mtc = 1 / (Σ 1 / mti)</t>
        </is>
      </c>
      <c r="F12" s="12" t="inlineStr">
        <is>
          <t>ч</t>
        </is>
      </c>
      <c r="G12" s="47" t="inlineStr">
        <is>
          <t>Средняя наработка системы всегда меньше наработки наименее надежного элемента!</t>
        </is>
      </c>
    </row>
    <row r="14" ht="24" customHeight="1">
      <c r="B14" s="6" t="inlineStr">
        <is>
          <t>ПРИБЛИЖЕННЫЕ ФОРМУЛЫ ПРИ ВЫСОКОЙ НАДЕЖНОСТИ (Pi(t) ≈ 1)</t>
        </is>
      </c>
    </row>
    <row r="15" ht="24" customHeight="1">
      <c r="B15" s="50" t="inlineStr">
        <is>
          <t>Произведение вероятностей разнонадежных узлов:</t>
        </is>
      </c>
      <c r="C15" s="51" t="inlineStr">
        <is>
          <t>P1 · P2 · ... · Pn ≈ 1 - Σ qi(t) = 1 - Σ (1 - Pi(t)). Погрешность мала, если Σ qi &lt;&lt; 1.</t>
        </is>
      </c>
      <c r="D15" s="52" t="n"/>
      <c r="E15" s="52" t="n"/>
      <c r="F15" s="52" t="n"/>
      <c r="G15" s="52" t="n"/>
    </row>
    <row r="16" ht="24" customHeight="1">
      <c r="B16" s="50" t="inlineStr">
        <is>
          <t>Степень вероятности для n одинаковых элементов:</t>
        </is>
      </c>
      <c r="C16" s="51" t="inlineStr">
        <is>
          <t>[P(t)]ⁿ = [1 - q(t)]ⁿ ≈ 1 - n · q(t). Удобно для систем с тысячами элементов.</t>
        </is>
      </c>
      <c r="D16" s="52" t="n"/>
      <c r="E16" s="52" t="n"/>
      <c r="F16" s="52" t="n"/>
      <c r="G16" s="52" t="n"/>
    </row>
    <row r="17" ht="24" customHeight="1">
      <c r="B17" s="50" t="inlineStr">
        <is>
          <t>Определение надежности элемента по системе:</t>
        </is>
      </c>
      <c r="C17" s="51" t="inlineStr">
        <is>
          <t>P(t) = [Pc(t)]^(1/n) ≈ 1 - qc(t) / n. Позволяет задавать требования к элементам системы.</t>
        </is>
      </c>
      <c r="D17" s="52" t="n"/>
      <c r="E17" s="52" t="n"/>
      <c r="F17" s="52" t="n"/>
      <c r="G17" s="52" t="n"/>
    </row>
  </sheetData>
  <mergeCells count="6">
    <mergeCell ref="B3:G3"/>
    <mergeCell ref="B2:G2"/>
    <mergeCell ref="C16:G16"/>
    <mergeCell ref="C15:G15"/>
    <mergeCell ref="B4:G4"/>
    <mergeCell ref="C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2026-10-22T17:54:00Z</dcterms:created>
  <dcterms:modified xmlns:dcterms="http://purl.org/dc/terms/" xmlns:xsi="http://www.w3.org/2001/XMLSchema-instance" xsi:type="dcterms:W3CDTF">2026-10-22T17:54:00Z</dcterms:modified>
</cp:coreProperties>
</file>