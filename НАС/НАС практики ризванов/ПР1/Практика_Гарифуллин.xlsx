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 1 (Задачи 6-1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#"/>
    <numFmt numFmtId="165" formatCode="0.00000"/>
    <numFmt numFmtId="166" formatCode="0.0000"/>
    <numFmt numFmtId="167" formatCode="0.000000"/>
    <numFmt numFmtId="168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E8F5E9"/>
      <sz val="10"/>
    </font>
    <font>
      <name val="Calibri"/>
      <i val="1"/>
      <color rgb="00E8F5E9"/>
      <sz val="9"/>
    </font>
    <font>
      <name val="Calibri"/>
      <b val="1"/>
      <color rgb="001E4D2B"/>
      <sz val="11"/>
    </font>
    <font>
      <name val="Calibri"/>
      <b val="1"/>
      <color rgb="00FFFFFF"/>
      <sz val="10"/>
    </font>
    <font>
      <name val="Calibri"/>
      <i val="1"/>
      <color rgb="004A4A4A"/>
      <sz val="9"/>
    </font>
    <font>
      <name val="Calibri"/>
      <b val="1"/>
      <color rgb="00202020"/>
      <sz val="10"/>
    </font>
    <font>
      <name val="Calibri"/>
      <b val="1"/>
      <color rgb="00FFFFFF"/>
      <sz val="9"/>
    </font>
    <font>
      <name val="Calibri"/>
      <color rgb="00202020"/>
      <sz val="10"/>
    </font>
    <font>
      <name val="Calibri"/>
      <i val="1"/>
      <color rgb="001E4D2B"/>
      <sz val="9"/>
    </font>
    <font>
      <name val="Calibri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00234E35"/>
        <bgColor rgb="00234E35"/>
      </patternFill>
    </fill>
    <fill>
      <patternFill patternType="solid">
        <fgColor rgb="002E6930"/>
        <bgColor rgb="002E6930"/>
      </patternFill>
    </fill>
    <fill>
      <patternFill patternType="solid">
        <fgColor rgb="003B7A40"/>
        <bgColor rgb="003B7A40"/>
      </patternFill>
    </fill>
    <fill>
      <patternFill patternType="solid">
        <fgColor rgb="00E8F2EA"/>
        <bgColor rgb="00E8F2EA"/>
      </patternFill>
    </fill>
    <fill>
      <patternFill patternType="solid">
        <fgColor rgb="00D4EDDA"/>
        <bgColor rgb="00D4EDDA"/>
      </patternFill>
    </fill>
    <fill>
      <patternFill patternType="solid">
        <fgColor rgb="00E8F5E9"/>
        <bgColor rgb="00E8F5E9"/>
      </patternFill>
    </fill>
    <fill>
      <patternFill patternType="solid">
        <fgColor rgb="00F5F9F6"/>
        <bgColor rgb="00F5F9F6"/>
      </patternFill>
    </fill>
  </fills>
  <borders count="4">
    <border>
      <left/>
      <right/>
      <top/>
      <bottom/>
      <diagonal/>
    </border>
    <border>
      <left style="thin">
        <color rgb="00C8D6CB"/>
      </left>
      <right style="thin">
        <color rgb="00C8D6CB"/>
      </right>
      <top style="thin">
        <color rgb="00C8D6CB"/>
      </top>
      <bottom style="thin">
        <color rgb="00C8D6CB"/>
      </bottom>
    </border>
    <border>
      <left style="thin">
        <color rgb="002E6930"/>
      </left>
      <right style="thin">
        <color rgb="002E6930"/>
      </right>
      <top style="thin">
        <color rgb="002E6930"/>
      </top>
      <bottom style="thin">
        <color rgb="002E6930"/>
      </bottom>
    </border>
    <border>
      <left style="thin">
        <color rgb="00C8D6CB"/>
      </left>
      <right style="thin">
        <color rgb="00C8D6CB"/>
      </right>
      <top style="thin">
        <color rgb="00C8D6CB"/>
      </top>
      <bottom style="double">
        <color rgb="002E693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5" fontId="11" fillId="6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6" fontId="11" fillId="6" borderId="2" applyAlignment="1" pivotButton="0" quotePrefix="0" xfId="0">
      <alignment horizontal="right" vertical="center"/>
    </xf>
    <xf numFmtId="2" fontId="11" fillId="6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1" fontId="11" fillId="6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7" fontId="11" fillId="6" borderId="2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7" fillId="5" borderId="3" applyAlignment="1" pivotButton="0" quotePrefix="0" xfId="0">
      <alignment horizontal="right" vertical="center"/>
    </xf>
    <xf numFmtId="0" fontId="0" fillId="5" borderId="3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6" customWidth="1" min="3" max="3"/>
    <col width="26" customWidth="1" min="4" max="4"/>
    <col width="20" customWidth="1" min="5" max="5"/>
    <col width="18" customWidth="1" min="6" max="6"/>
    <col width="10" customWidth="1" min="7" max="7"/>
  </cols>
  <sheetData>
    <row r="2" ht="24" customHeight="1">
      <c r="B2" s="1" t="inlineStr">
        <is>
          <t>ПРАКТИЧЕСКАЯ РАБОТА № 1</t>
        </is>
      </c>
      <c r="C2" s="2" t="n"/>
      <c r="D2" s="2" t="n"/>
      <c r="E2" s="2" t="n"/>
      <c r="F2" s="2" t="n"/>
    </row>
    <row r="3" ht="18" customHeight="1">
      <c r="B3" s="3" t="inlineStr">
        <is>
          <t>Определение количественных характеристик надежности по статистическим данным</t>
        </is>
      </c>
      <c r="C3" s="4" t="n"/>
      <c r="D3" s="4" t="n"/>
      <c r="E3" s="4" t="n"/>
      <c r="F3" s="4" t="n"/>
    </row>
    <row r="4" ht="18" customHeight="1">
      <c r="B4" s="5" t="inlineStr">
        <is>
          <t>Выполнил: студент Гарифуллин  |  Дисциплина: Надежность автоматизированных систем</t>
        </is>
      </c>
      <c r="C4" s="4" t="n"/>
      <c r="D4" s="4" t="n"/>
      <c r="E4" s="4" t="n"/>
      <c r="F4" s="4" t="n"/>
    </row>
    <row r="6" ht="20" customHeight="1">
      <c r="B6" s="6" t="inlineStr">
        <is>
          <t>Сводные результаты решения задач (№ 6 – 15)</t>
        </is>
      </c>
    </row>
    <row r="7" ht="22" customHeight="1">
      <c r="B7" s="7" t="inlineStr">
        <is>
          <t>№ задачи</t>
        </is>
      </c>
      <c r="C7" s="7" t="inlineStr">
        <is>
          <t>Краткое описание</t>
        </is>
      </c>
      <c r="D7" s="7" t="inlineStr">
        <is>
          <t>Параметр</t>
        </is>
      </c>
      <c r="E7" s="7" t="inlineStr">
        <is>
          <t>Формула</t>
        </is>
      </c>
      <c r="F7" s="7" t="inlineStr">
        <is>
          <t>Результат</t>
        </is>
      </c>
      <c r="G7" s="7" t="inlineStr">
        <is>
          <t>Ед. изм.</t>
        </is>
      </c>
    </row>
    <row r="8" ht="19" customHeight="1">
      <c r="B8" s="8" t="inlineStr">
        <is>
          <t>Задача 6</t>
        </is>
      </c>
      <c r="C8" s="9" t="inlineStr">
        <is>
          <t>100 изделий, t=4000 ч</t>
        </is>
      </c>
      <c r="D8" s="10" t="inlineStr">
        <is>
          <t>Частота f(4000)</t>
        </is>
      </c>
      <c r="E8" s="11" t="inlineStr">
        <is>
          <t>f = Δn/(N·Δt)</t>
        </is>
      </c>
      <c r="F8" s="12">
        <f>E39</f>
        <v/>
      </c>
      <c r="G8" s="13" t="inlineStr">
        <is>
          <t>1/ч</t>
        </is>
      </c>
    </row>
    <row r="9" ht="19" customHeight="1">
      <c r="B9" s="14" t="inlineStr">
        <is>
          <t>Задача 6</t>
        </is>
      </c>
      <c r="C9" s="15" t="inlineStr">
        <is>
          <t>100 изделий, t=4000 ч</t>
        </is>
      </c>
      <c r="D9" s="16" t="inlineStr">
        <is>
          <t>Интенсивность λ(4000)</t>
        </is>
      </c>
      <c r="E9" s="17" t="inlineStr">
        <is>
          <t>λ = Δn/(n(t)·Δt)</t>
        </is>
      </c>
      <c r="F9" s="12">
        <f>E40</f>
        <v/>
      </c>
      <c r="G9" s="18" t="inlineStr">
        <is>
          <t>1/ч</t>
        </is>
      </c>
    </row>
    <row r="10" ht="19" customHeight="1">
      <c r="B10" s="8" t="inlineStr">
        <is>
          <t>Задача 7</t>
        </is>
      </c>
      <c r="C10" s="9" t="inlineStr">
        <is>
          <t>100 изделий, t=4000 ч</t>
        </is>
      </c>
      <c r="D10" s="10" t="inlineStr">
        <is>
          <t>Вероятность p(4000)</t>
        </is>
      </c>
      <c r="E10" s="11" t="inlineStr">
        <is>
          <t>p = n(t)/N</t>
        </is>
      </c>
      <c r="F10" s="19">
        <f>E55</f>
        <v/>
      </c>
      <c r="G10" s="13" t="inlineStr">
        <is>
          <t>—</t>
        </is>
      </c>
    </row>
    <row r="11" ht="19" customHeight="1">
      <c r="B11" s="14" t="inlineStr">
        <is>
          <t>Задача 7</t>
        </is>
      </c>
      <c r="C11" s="15" t="inlineStr">
        <is>
          <t>100 изделий, t=4000 ч</t>
        </is>
      </c>
      <c r="D11" s="16" t="inlineStr">
        <is>
          <t>Вероятность q(4000)</t>
        </is>
      </c>
      <c r="E11" s="17" t="inlineStr">
        <is>
          <t>q = 1 - p</t>
        </is>
      </c>
      <c r="F11" s="19">
        <f>E56</f>
        <v/>
      </c>
      <c r="G11" s="18" t="inlineStr">
        <is>
          <t>—</t>
        </is>
      </c>
    </row>
    <row r="12" ht="19" customHeight="1">
      <c r="B12" s="8" t="inlineStr">
        <is>
          <t>Задача 8</t>
        </is>
      </c>
      <c r="C12" s="9" t="inlineStr">
        <is>
          <t>10 гироскопов, t=1000 ч</t>
        </is>
      </c>
      <c r="D12" s="10" t="inlineStr">
        <is>
          <t>Частота f(1000)</t>
        </is>
      </c>
      <c r="E12" s="11" t="inlineStr">
        <is>
          <t>f = Δn/(N·Δt)</t>
        </is>
      </c>
      <c r="F12" s="12">
        <f>E73</f>
        <v/>
      </c>
      <c r="G12" s="13" t="inlineStr">
        <is>
          <t>1/ч</t>
        </is>
      </c>
    </row>
    <row r="13" ht="19" customHeight="1">
      <c r="B13" s="14" t="inlineStr">
        <is>
          <t>Задача 8</t>
        </is>
      </c>
      <c r="C13" s="15" t="inlineStr">
        <is>
          <t>10 гироскопов, t=1000 ч</t>
        </is>
      </c>
      <c r="D13" s="16" t="inlineStr">
        <is>
          <t>Интенсивность λ(1000)</t>
        </is>
      </c>
      <c r="E13" s="17" t="inlineStr">
        <is>
          <t>λ = Δn/(n(t)·Δt)</t>
        </is>
      </c>
      <c r="F13" s="12">
        <f>E74</f>
        <v/>
      </c>
      <c r="G13" s="18" t="inlineStr">
        <is>
          <t>1/ч</t>
        </is>
      </c>
    </row>
    <row r="14" ht="19" customHeight="1">
      <c r="B14" s="8" t="inlineStr">
        <is>
          <t>Задача 9</t>
        </is>
      </c>
      <c r="C14" s="9" t="inlineStr">
        <is>
          <t>1000 ламп, t=4000 ч</t>
        </is>
      </c>
      <c r="D14" s="10" t="inlineStr">
        <is>
          <t>Вероятность p(4000)</t>
        </is>
      </c>
      <c r="E14" s="11" t="inlineStr">
        <is>
          <t>p = n(4000)/N</t>
        </is>
      </c>
      <c r="F14" s="19">
        <f>E90</f>
        <v/>
      </c>
      <c r="G14" s="13" t="inlineStr">
        <is>
          <t>—</t>
        </is>
      </c>
    </row>
    <row r="15" ht="19" customHeight="1">
      <c r="B15" s="14" t="inlineStr">
        <is>
          <t>Задача 9</t>
        </is>
      </c>
      <c r="C15" s="15" t="inlineStr">
        <is>
          <t>1000 ламп, t=4000 ч</t>
        </is>
      </c>
      <c r="D15" s="16" t="inlineStr">
        <is>
          <t>Вероятность q(4000)</t>
        </is>
      </c>
      <c r="E15" s="17" t="inlineStr">
        <is>
          <t>q = 1 - p</t>
        </is>
      </c>
      <c r="F15" s="19">
        <f>E91</f>
        <v/>
      </c>
      <c r="G15" s="18" t="inlineStr">
        <is>
          <t>—</t>
        </is>
      </c>
    </row>
    <row r="16" ht="19" customHeight="1">
      <c r="B16" s="8" t="inlineStr">
        <is>
          <t>Задача 10</t>
        </is>
      </c>
      <c r="C16" s="9" t="inlineStr">
        <is>
          <t>1000 изделий, t=1300 ч</t>
        </is>
      </c>
      <c r="D16" s="10" t="inlineStr">
        <is>
          <t>Вероятности p, f, λ</t>
        </is>
      </c>
      <c r="E16" s="11" t="inlineStr">
        <is>
          <t>p(1300); p(1400); f; λ</t>
        </is>
      </c>
      <c r="F16" s="19">
        <f>E109</f>
        <v/>
      </c>
      <c r="G16" s="13" t="inlineStr">
        <is>
          <t>—</t>
        </is>
      </c>
    </row>
    <row r="17" ht="19" customHeight="1">
      <c r="B17" s="14" t="inlineStr">
        <is>
          <t>Задача 11</t>
        </is>
      </c>
      <c r="C17" s="15" t="inlineStr">
        <is>
          <t>45 изделий, t=60 ч</t>
        </is>
      </c>
      <c r="D17" s="16" t="inlineStr">
        <is>
          <t>Вероятности p, f, λ</t>
        </is>
      </c>
      <c r="E17" s="17" t="inlineStr">
        <is>
          <t>p(60); p(65); f; λ</t>
        </is>
      </c>
      <c r="F17" s="19">
        <f>E130</f>
        <v/>
      </c>
      <c r="G17" s="18" t="inlineStr">
        <is>
          <t>—</t>
        </is>
      </c>
    </row>
    <row r="18" ht="19" customHeight="1">
      <c r="B18" s="8" t="inlineStr">
        <is>
          <t>Задача 12</t>
        </is>
      </c>
      <c r="C18" s="9" t="inlineStr">
        <is>
          <t>45 образцов РЭО</t>
        </is>
      </c>
      <c r="D18" s="10" t="inlineStr">
        <is>
          <t>Среднее время mt*</t>
        </is>
      </c>
      <c r="E18" s="11" t="inlineStr">
        <is>
          <t>mt* = Σ(ni·tср)/N</t>
        </is>
      </c>
      <c r="F18" s="20">
        <f>E150</f>
        <v/>
      </c>
      <c r="G18" s="13" t="inlineStr">
        <is>
          <t>ч</t>
        </is>
      </c>
    </row>
    <row r="19" ht="19" customHeight="1">
      <c r="B19" s="14" t="inlineStr">
        <is>
          <t>Задача 13</t>
        </is>
      </c>
      <c r="C19" s="15" t="inlineStr">
        <is>
          <t>8 изделий (наработки)</t>
        </is>
      </c>
      <c r="D19" s="16" t="inlineStr">
        <is>
          <t>Среднее время mt*</t>
        </is>
      </c>
      <c r="E19" s="17" t="inlineStr">
        <is>
          <t>mt* = Σti/N</t>
        </is>
      </c>
      <c r="F19" s="20">
        <f>E168</f>
        <v/>
      </c>
      <c r="G19" s="18" t="inlineStr">
        <is>
          <t>ч</t>
        </is>
      </c>
    </row>
    <row r="20" ht="19" customHeight="1">
      <c r="B20" s="8" t="inlineStr">
        <is>
          <t>Задача 14</t>
        </is>
      </c>
      <c r="C20" s="9" t="inlineStr">
        <is>
          <t>6 отказов (восстановление)</t>
        </is>
      </c>
      <c r="D20" s="10" t="inlineStr">
        <is>
          <t>Среднее время mt</t>
        </is>
      </c>
      <c r="E20" s="11" t="inlineStr">
        <is>
          <t>mt = Σtв/N</t>
        </is>
      </c>
      <c r="F20" s="20">
        <f>E185</f>
        <v/>
      </c>
      <c r="G20" s="13" t="inlineStr">
        <is>
          <t>мин</t>
        </is>
      </c>
    </row>
    <row r="21" ht="19" customHeight="1">
      <c r="B21" s="14" t="inlineStr">
        <is>
          <t>Задача 15</t>
        </is>
      </c>
      <c r="C21" s="15" t="inlineStr">
        <is>
          <t>1000 изделий, t=11000 ч</t>
        </is>
      </c>
      <c r="D21" s="16" t="inlineStr">
        <is>
          <t>Вероятность p(11000)</t>
        </is>
      </c>
      <c r="E21" s="17" t="inlineStr">
        <is>
          <t>p = n(11000)/N</t>
        </is>
      </c>
      <c r="F21" s="19">
        <f>E203</f>
        <v/>
      </c>
      <c r="G21" s="18" t="inlineStr">
        <is>
          <t>—</t>
        </is>
      </c>
    </row>
    <row r="25" ht="20" customHeight="1">
      <c r="B25" s="21" t="inlineStr">
        <is>
          <t>Задача 6. Интенсивность и частота отказов</t>
        </is>
      </c>
      <c r="C25" s="22" t="n"/>
      <c r="D25" s="22" t="n"/>
      <c r="E25" s="22" t="n"/>
      <c r="F25" s="22" t="n"/>
    </row>
    <row r="26" ht="16" customHeight="1">
      <c r="B26" s="23" t="inlineStr">
        <is>
          <t>Условие: На испытание поставлено 100 изделий. За 4000 ч отказало 50 изделий. За интервал 4000-4100 ч отказало еще 20 изделий. Найти f(t), λ(t) при t = 4000 ч.</t>
        </is>
      </c>
      <c r="C26" s="24" t="n"/>
      <c r="D26" s="24" t="n"/>
      <c r="E26" s="24" t="n"/>
      <c r="F26" s="24" t="n"/>
    </row>
    <row r="27" ht="16" customHeight="1">
      <c r="B27" s="24" t="n"/>
      <c r="C27" s="24" t="n"/>
      <c r="D27" s="24" t="n"/>
      <c r="E27" s="24" t="n"/>
      <c r="F27" s="24" t="n"/>
    </row>
    <row r="28">
      <c r="B28" s="25" t="inlineStr">
        <is>
          <t>Исходные данные:</t>
        </is>
      </c>
    </row>
    <row r="29" ht="19" customHeight="1">
      <c r="B29" s="26" t="inlineStr">
        <is>
          <t>Параметр</t>
        </is>
      </c>
      <c r="C29" s="26" t="inlineStr">
        <is>
          <t>Обозначение</t>
        </is>
      </c>
      <c r="D29" s="26" t="inlineStr">
        <is>
          <t>Значение</t>
        </is>
      </c>
      <c r="E29" s="26" t="inlineStr">
        <is>
          <t>Ед. изм.</t>
        </is>
      </c>
    </row>
    <row r="30" ht="18" customHeight="1">
      <c r="B30" s="27" t="inlineStr">
        <is>
          <t>Число изделий</t>
        </is>
      </c>
      <c r="C30" s="14" t="inlineStr">
        <is>
          <t>N</t>
        </is>
      </c>
      <c r="D30" s="28" t="n">
        <v>100</v>
      </c>
      <c r="E30" s="18" t="inlineStr">
        <is>
          <t>шт.</t>
        </is>
      </c>
    </row>
    <row r="31" ht="18" customHeight="1">
      <c r="B31" s="27" t="inlineStr">
        <is>
          <t>Время t</t>
        </is>
      </c>
      <c r="C31" s="14" t="inlineStr">
        <is>
          <t>t</t>
        </is>
      </c>
      <c r="D31" s="28" t="n">
        <v>4000</v>
      </c>
      <c r="E31" s="18" t="inlineStr">
        <is>
          <t>ч</t>
        </is>
      </c>
    </row>
    <row r="32" ht="18" customHeight="1">
      <c r="B32" s="27" t="inlineStr">
        <is>
          <t>Отказов к моменту t</t>
        </is>
      </c>
      <c r="C32" s="14" t="inlineStr">
        <is>
          <t>n_отк</t>
        </is>
      </c>
      <c r="D32" s="28" t="n">
        <v>50</v>
      </c>
      <c r="E32" s="18" t="inlineStr">
        <is>
          <t>шт.</t>
        </is>
      </c>
    </row>
    <row r="33" ht="18" customHeight="1">
      <c r="B33" s="27" t="inlineStr">
        <is>
          <t>Интервал времени</t>
        </is>
      </c>
      <c r="C33" s="14" t="inlineStr">
        <is>
          <t>dt</t>
        </is>
      </c>
      <c r="D33" s="28" t="n">
        <v>100</v>
      </c>
      <c r="E33" s="18" t="inlineStr">
        <is>
          <t>ч</t>
        </is>
      </c>
    </row>
    <row r="34" ht="18" customHeight="1">
      <c r="B34" s="27" t="inlineStr">
        <is>
          <t>Отказов за интервал dt</t>
        </is>
      </c>
      <c r="C34" s="14" t="inlineStr">
        <is>
          <t>dn</t>
        </is>
      </c>
      <c r="D34" s="28" t="n">
        <v>20</v>
      </c>
      <c r="E34" s="18" t="inlineStr">
        <is>
          <t>шт.</t>
        </is>
      </c>
    </row>
    <row r="36">
      <c r="B36" s="25" t="inlineStr">
        <is>
          <t>Расчет:</t>
        </is>
      </c>
    </row>
    <row r="37" ht="19" customHeight="1">
      <c r="B37" s="26" t="inlineStr">
        <is>
          <t>Показатель</t>
        </is>
      </c>
      <c r="C37" s="26" t="inlineStr">
        <is>
          <t>Формула</t>
        </is>
      </c>
      <c r="D37" s="26" t="inlineStr">
        <is>
          <t>Расчет в Excel</t>
        </is>
      </c>
      <c r="E37" s="26" t="inlineStr">
        <is>
          <t>Значение</t>
        </is>
      </c>
      <c r="F37" s="26" t="inlineStr">
        <is>
          <t>Ед. изм.</t>
        </is>
      </c>
    </row>
    <row r="38" ht="20" customHeight="1">
      <c r="B38" s="27" t="inlineStr">
        <is>
          <t>Работоспособно к 4000 ч</t>
        </is>
      </c>
      <c r="C38" s="29" t="inlineStr">
        <is>
          <t>n(t) = N - n_отк</t>
        </is>
      </c>
      <c r="D38" s="30">
        <f>D30-D32</f>
        <v/>
      </c>
      <c r="E38" s="31">
        <f>D30-D32</f>
        <v/>
      </c>
      <c r="F38" s="18" t="inlineStr">
        <is>
          <t>шт.</t>
        </is>
      </c>
    </row>
    <row r="39" ht="20" customHeight="1">
      <c r="B39" s="27" t="inlineStr">
        <is>
          <t>Частота отказов f(4000)</t>
        </is>
      </c>
      <c r="C39" s="29" t="inlineStr">
        <is>
          <t>f = dn / (N · dt)</t>
        </is>
      </c>
      <c r="D39" s="30">
        <f>D34/(D30*D33)</f>
        <v/>
      </c>
      <c r="E39" s="12">
        <f>D34/(D30*D33)</f>
        <v/>
      </c>
      <c r="F39" s="18" t="inlineStr">
        <is>
          <t>1/ч</t>
        </is>
      </c>
    </row>
    <row r="40" ht="20" customHeight="1">
      <c r="B40" s="27" t="inlineStr">
        <is>
          <t>Интенсивность отказов λ(4000)</t>
        </is>
      </c>
      <c r="C40" s="29" t="inlineStr">
        <is>
          <t>λ = dn / (n(t) · dt)</t>
        </is>
      </c>
      <c r="D40" s="30">
        <f>D34/(E38*D33)</f>
        <v/>
      </c>
      <c r="E40" s="12">
        <f>D34/(E38*D33)</f>
        <v/>
      </c>
      <c r="F40" s="18" t="inlineStr">
        <is>
          <t>1/ч</t>
        </is>
      </c>
    </row>
    <row r="41" ht="20" customHeight="1">
      <c r="B41" s="32" t="inlineStr">
        <is>
          <t>Ответ: f(4000) = 0,002 1/ч; λ(4000) = 0,004 1/ч.</t>
        </is>
      </c>
      <c r="C41" s="33" t="n"/>
      <c r="D41" s="33" t="n"/>
      <c r="E41" s="33" t="n"/>
      <c r="F41" s="33" t="n"/>
    </row>
    <row r="43" ht="20" customHeight="1">
      <c r="B43" s="21" t="inlineStr">
        <is>
          <t>Задача 7. Вероятность безотказной работы и отказа</t>
        </is>
      </c>
      <c r="C43" s="22" t="n"/>
      <c r="D43" s="22" t="n"/>
      <c r="E43" s="22" t="n"/>
      <c r="F43" s="22" t="n"/>
    </row>
    <row r="44" ht="16" customHeight="1">
      <c r="B44" s="23" t="inlineStr">
        <is>
          <t>Условие: На испытание поставлено 100 изделий. За 4000 ч отказало 50 изделий. Найти p(t) и q(t) при t = 4000 ч.</t>
        </is>
      </c>
      <c r="C44" s="24" t="n"/>
      <c r="D44" s="24" t="n"/>
      <c r="E44" s="24" t="n"/>
      <c r="F44" s="24" t="n"/>
    </row>
    <row r="45" ht="16" customHeight="1">
      <c r="B45" s="24" t="n"/>
      <c r="C45" s="24" t="n"/>
      <c r="D45" s="24" t="n"/>
      <c r="E45" s="24" t="n"/>
      <c r="F45" s="24" t="n"/>
    </row>
    <row r="46">
      <c r="B46" s="25" t="inlineStr">
        <is>
          <t>Исходные данные:</t>
        </is>
      </c>
    </row>
    <row r="47" ht="19" customHeight="1">
      <c r="B47" s="26" t="inlineStr">
        <is>
          <t>Параметр</t>
        </is>
      </c>
      <c r="C47" s="26" t="inlineStr">
        <is>
          <t>Обозначение</t>
        </is>
      </c>
      <c r="D47" s="26" t="inlineStr">
        <is>
          <t>Значение</t>
        </is>
      </c>
      <c r="E47" s="26" t="inlineStr">
        <is>
          <t>Ед. изм.</t>
        </is>
      </c>
    </row>
    <row r="48" ht="18" customHeight="1">
      <c r="B48" s="27" t="inlineStr">
        <is>
          <t>Число изделий</t>
        </is>
      </c>
      <c r="C48" s="14" t="inlineStr">
        <is>
          <t>N</t>
        </is>
      </c>
      <c r="D48" s="28" t="n">
        <v>100</v>
      </c>
      <c r="E48" s="18" t="inlineStr">
        <is>
          <t>шт.</t>
        </is>
      </c>
    </row>
    <row r="49" ht="18" customHeight="1">
      <c r="B49" s="27" t="inlineStr">
        <is>
          <t>Время t</t>
        </is>
      </c>
      <c r="C49" s="14" t="inlineStr">
        <is>
          <t>t</t>
        </is>
      </c>
      <c r="D49" s="28" t="n">
        <v>4000</v>
      </c>
      <c r="E49" s="18" t="inlineStr">
        <is>
          <t>ч</t>
        </is>
      </c>
    </row>
    <row r="50" ht="18" customHeight="1">
      <c r="B50" s="27" t="inlineStr">
        <is>
          <t>Отказов к моменту t</t>
        </is>
      </c>
      <c r="C50" s="14" t="inlineStr">
        <is>
          <t>n_отк</t>
        </is>
      </c>
      <c r="D50" s="28" t="n">
        <v>50</v>
      </c>
      <c r="E50" s="18" t="inlineStr">
        <is>
          <t>шт.</t>
        </is>
      </c>
    </row>
    <row r="52">
      <c r="B52" s="25" t="inlineStr">
        <is>
          <t>Расчет:</t>
        </is>
      </c>
    </row>
    <row r="53" ht="19" customHeight="1">
      <c r="B53" s="26" t="inlineStr">
        <is>
          <t>Показатель</t>
        </is>
      </c>
      <c r="C53" s="26" t="inlineStr">
        <is>
          <t>Формула</t>
        </is>
      </c>
      <c r="D53" s="26" t="inlineStr">
        <is>
          <t>Расчет в Excel</t>
        </is>
      </c>
      <c r="E53" s="26" t="inlineStr">
        <is>
          <t>Значение</t>
        </is>
      </c>
      <c r="F53" s="26" t="inlineStr">
        <is>
          <t>Ед. изм.</t>
        </is>
      </c>
    </row>
    <row r="54" ht="20" customHeight="1">
      <c r="B54" s="27" t="inlineStr">
        <is>
          <t>Работоспособно к 4000 ч</t>
        </is>
      </c>
      <c r="C54" s="29" t="inlineStr">
        <is>
          <t>n(t) = N - n_отк</t>
        </is>
      </c>
      <c r="D54" s="30">
        <f>D48-D50</f>
        <v/>
      </c>
      <c r="E54" s="31">
        <f>D48-D50</f>
        <v/>
      </c>
      <c r="F54" s="18" t="inlineStr">
        <is>
          <t>шт.</t>
        </is>
      </c>
    </row>
    <row r="55" ht="20" customHeight="1">
      <c r="B55" s="27" t="inlineStr">
        <is>
          <t>Вероятность безотказной работы</t>
        </is>
      </c>
      <c r="C55" s="29" t="inlineStr">
        <is>
          <t>p = n(t) / N</t>
        </is>
      </c>
      <c r="D55" s="30">
        <f>E54/D48</f>
        <v/>
      </c>
      <c r="E55" s="19">
        <f>E54/D48</f>
        <v/>
      </c>
      <c r="F55" s="18" t="inlineStr">
        <is>
          <t>—</t>
        </is>
      </c>
    </row>
    <row r="56" ht="20" customHeight="1">
      <c r="B56" s="27" t="inlineStr">
        <is>
          <t>Вероятность отказа</t>
        </is>
      </c>
      <c r="C56" s="29" t="inlineStr">
        <is>
          <t>q = 1 - p</t>
        </is>
      </c>
      <c r="D56" s="30">
        <f>1-E55</f>
        <v/>
      </c>
      <c r="E56" s="19">
        <f>1-E55</f>
        <v/>
      </c>
      <c r="F56" s="18" t="inlineStr">
        <is>
          <t>—</t>
        </is>
      </c>
    </row>
    <row r="57" ht="20" customHeight="1">
      <c r="B57" s="32" t="inlineStr">
        <is>
          <t>Ответ: p(4000) = 0,50; q(4000) = 0,50.</t>
        </is>
      </c>
      <c r="C57" s="33" t="n"/>
      <c r="D57" s="33" t="n"/>
      <c r="E57" s="33" t="n"/>
      <c r="F57" s="33" t="n"/>
    </row>
    <row r="59" ht="20" customHeight="1">
      <c r="B59" s="21" t="inlineStr">
        <is>
          <t>Задача 8. Надежность гироскопов</t>
        </is>
      </c>
      <c r="C59" s="22" t="n"/>
      <c r="D59" s="22" t="n"/>
      <c r="E59" s="22" t="n"/>
      <c r="F59" s="22" t="n"/>
    </row>
    <row r="60" ht="16" customHeight="1">
      <c r="B60" s="23" t="inlineStr">
        <is>
          <t>Условие: В течение 1000 ч из 10 гироскопов отказало 2. За интервал 1000-1100 ч отказал еще 1 гироскоп. Найти f(t), λ(t) при t = 1000 ч.</t>
        </is>
      </c>
      <c r="C60" s="24" t="n"/>
      <c r="D60" s="24" t="n"/>
      <c r="E60" s="24" t="n"/>
      <c r="F60" s="24" t="n"/>
    </row>
    <row r="61" ht="16" customHeight="1">
      <c r="B61" s="24" t="n"/>
      <c r="C61" s="24" t="n"/>
      <c r="D61" s="24" t="n"/>
      <c r="E61" s="24" t="n"/>
      <c r="F61" s="24" t="n"/>
    </row>
    <row r="62">
      <c r="B62" s="25" t="inlineStr">
        <is>
          <t>Исходные данные:</t>
        </is>
      </c>
    </row>
    <row r="63" ht="19" customHeight="1">
      <c r="B63" s="26" t="inlineStr">
        <is>
          <t>Параметр</t>
        </is>
      </c>
      <c r="C63" s="26" t="inlineStr">
        <is>
          <t>Обозначение</t>
        </is>
      </c>
      <c r="D63" s="26" t="inlineStr">
        <is>
          <t>Значение</t>
        </is>
      </c>
      <c r="E63" s="26" t="inlineStr">
        <is>
          <t>Ед. изм.</t>
        </is>
      </c>
    </row>
    <row r="64" ht="18" customHeight="1">
      <c r="B64" s="27" t="inlineStr">
        <is>
          <t>Число гироскопов</t>
        </is>
      </c>
      <c r="C64" s="14" t="inlineStr">
        <is>
          <t>N</t>
        </is>
      </c>
      <c r="D64" s="28" t="n">
        <v>10</v>
      </c>
      <c r="E64" s="18" t="inlineStr">
        <is>
          <t>шт.</t>
        </is>
      </c>
    </row>
    <row r="65" ht="18" customHeight="1">
      <c r="B65" s="27" t="inlineStr">
        <is>
          <t>Время t</t>
        </is>
      </c>
      <c r="C65" s="14" t="inlineStr">
        <is>
          <t>t</t>
        </is>
      </c>
      <c r="D65" s="28" t="n">
        <v>1000</v>
      </c>
      <c r="E65" s="18" t="inlineStr">
        <is>
          <t>ч</t>
        </is>
      </c>
    </row>
    <row r="66" ht="18" customHeight="1">
      <c r="B66" s="27" t="inlineStr">
        <is>
          <t>Отказов к моменту t</t>
        </is>
      </c>
      <c r="C66" s="14" t="inlineStr">
        <is>
          <t>n_отк</t>
        </is>
      </c>
      <c r="D66" s="28" t="n">
        <v>2</v>
      </c>
      <c r="E66" s="18" t="inlineStr">
        <is>
          <t>шт.</t>
        </is>
      </c>
    </row>
    <row r="67" ht="18" customHeight="1">
      <c r="B67" s="27" t="inlineStr">
        <is>
          <t>Интервал времени</t>
        </is>
      </c>
      <c r="C67" s="14" t="inlineStr">
        <is>
          <t>dt</t>
        </is>
      </c>
      <c r="D67" s="28" t="n">
        <v>100</v>
      </c>
      <c r="E67" s="18" t="inlineStr">
        <is>
          <t>ч</t>
        </is>
      </c>
    </row>
    <row r="68" ht="18" customHeight="1">
      <c r="B68" s="27" t="inlineStr">
        <is>
          <t>Отказов за интервал dt</t>
        </is>
      </c>
      <c r="C68" s="14" t="inlineStr">
        <is>
          <t>dn</t>
        </is>
      </c>
      <c r="D68" s="28" t="n">
        <v>1</v>
      </c>
      <c r="E68" s="18" t="inlineStr">
        <is>
          <t>шт.</t>
        </is>
      </c>
    </row>
    <row r="70">
      <c r="B70" s="25" t="inlineStr">
        <is>
          <t>Расчет:</t>
        </is>
      </c>
    </row>
    <row r="71" ht="19" customHeight="1">
      <c r="B71" s="26" t="inlineStr">
        <is>
          <t>Показатель</t>
        </is>
      </c>
      <c r="C71" s="26" t="inlineStr">
        <is>
          <t>Формула</t>
        </is>
      </c>
      <c r="D71" s="26" t="inlineStr">
        <is>
          <t>Расчет в Excel</t>
        </is>
      </c>
      <c r="E71" s="26" t="inlineStr">
        <is>
          <t>Значение</t>
        </is>
      </c>
      <c r="F71" s="26" t="inlineStr">
        <is>
          <t>Ед. изм.</t>
        </is>
      </c>
    </row>
    <row r="72" ht="20" customHeight="1">
      <c r="B72" s="27" t="inlineStr">
        <is>
          <t>Работоспособно к 1000 ч</t>
        </is>
      </c>
      <c r="C72" s="29" t="inlineStr">
        <is>
          <t>n(t) = N - n_отк</t>
        </is>
      </c>
      <c r="D72" s="30">
        <f>D64-D66</f>
        <v/>
      </c>
      <c r="E72" s="31">
        <f>D64-D66</f>
        <v/>
      </c>
      <c r="F72" s="18" t="inlineStr">
        <is>
          <t>шт.</t>
        </is>
      </c>
    </row>
    <row r="73" ht="20" customHeight="1">
      <c r="B73" s="27" t="inlineStr">
        <is>
          <t>Частота отказов f(1000)</t>
        </is>
      </c>
      <c r="C73" s="29" t="inlineStr">
        <is>
          <t>f = dn / (N · dt)</t>
        </is>
      </c>
      <c r="D73" s="30">
        <f>D68/(D64*D67)</f>
        <v/>
      </c>
      <c r="E73" s="12">
        <f>D68/(D64*D67)</f>
        <v/>
      </c>
      <c r="F73" s="18" t="inlineStr">
        <is>
          <t>1/ч</t>
        </is>
      </c>
    </row>
    <row r="74" ht="20" customHeight="1">
      <c r="B74" s="27" t="inlineStr">
        <is>
          <t>Интенсивность отказов λ(1000)</t>
        </is>
      </c>
      <c r="C74" s="29" t="inlineStr">
        <is>
          <t>λ = dn / (n(t) · dt)</t>
        </is>
      </c>
      <c r="D74" s="30">
        <f>D68/(E72*D67)</f>
        <v/>
      </c>
      <c r="E74" s="12">
        <f>D68/(E72*D67)</f>
        <v/>
      </c>
      <c r="F74" s="18" t="inlineStr">
        <is>
          <t>1/ч</t>
        </is>
      </c>
    </row>
    <row r="75" ht="20" customHeight="1">
      <c r="B75" s="32" t="inlineStr">
        <is>
          <t>Ответ: f(1000) = 0,001 1/ч; λ(1000) = 0,00125 1/ч.</t>
        </is>
      </c>
      <c r="C75" s="33" t="n"/>
      <c r="D75" s="33" t="n"/>
      <c r="E75" s="33" t="n"/>
      <c r="F75" s="33" t="n"/>
    </row>
    <row r="77" ht="20" customHeight="1">
      <c r="B77" s="21" t="inlineStr">
        <is>
          <t>Задача 9. Надежность ламп</t>
        </is>
      </c>
      <c r="C77" s="22" t="n"/>
      <c r="D77" s="22" t="n"/>
      <c r="E77" s="22" t="n"/>
      <c r="F77" s="22" t="n"/>
    </row>
    <row r="78" ht="16" customHeight="1">
      <c r="B78" s="23" t="inlineStr">
        <is>
          <t>Условие: На испытание поставлено 1000 ламп. За первые 3000 ч отказало 80 ламп, за 3000-4000 ч отказало еще 50 ламп. Найти p(t), q(t) при t = 4000 ч.</t>
        </is>
      </c>
      <c r="C78" s="24" t="n"/>
      <c r="D78" s="24" t="n"/>
      <c r="E78" s="24" t="n"/>
      <c r="F78" s="24" t="n"/>
    </row>
    <row r="79" ht="16" customHeight="1">
      <c r="B79" s="24" t="n"/>
      <c r="C79" s="24" t="n"/>
      <c r="D79" s="24" t="n"/>
      <c r="E79" s="24" t="n"/>
      <c r="F79" s="24" t="n"/>
    </row>
    <row r="80">
      <c r="B80" s="25" t="inlineStr">
        <is>
          <t>Исходные данные:</t>
        </is>
      </c>
    </row>
    <row r="81" ht="19" customHeight="1">
      <c r="B81" s="26" t="inlineStr">
        <is>
          <t>Параметр</t>
        </is>
      </c>
      <c r="C81" s="26" t="inlineStr">
        <is>
          <t>Обозначение</t>
        </is>
      </c>
      <c r="D81" s="26" t="inlineStr">
        <is>
          <t>Значение</t>
        </is>
      </c>
      <c r="E81" s="26" t="inlineStr">
        <is>
          <t>Ед. изм.</t>
        </is>
      </c>
    </row>
    <row r="82" ht="18" customHeight="1">
      <c r="B82" s="27" t="inlineStr">
        <is>
          <t>Число ламп</t>
        </is>
      </c>
      <c r="C82" s="14" t="inlineStr">
        <is>
          <t>N</t>
        </is>
      </c>
      <c r="D82" s="28" t="n">
        <v>1000</v>
      </c>
      <c r="E82" s="18" t="inlineStr">
        <is>
          <t>шт.</t>
        </is>
      </c>
    </row>
    <row r="83" ht="18" customHeight="1">
      <c r="B83" s="27" t="inlineStr">
        <is>
          <t>Отказов за 3000 ч</t>
        </is>
      </c>
      <c r="C83" s="14" t="inlineStr">
        <is>
          <t>n_отк1</t>
        </is>
      </c>
      <c r="D83" s="28" t="n">
        <v>80</v>
      </c>
      <c r="E83" s="18" t="inlineStr">
        <is>
          <t>шт.</t>
        </is>
      </c>
    </row>
    <row r="84" ht="18" customHeight="1">
      <c r="B84" s="27" t="inlineStr">
        <is>
          <t>Отказов за 3000-4000 ч</t>
        </is>
      </c>
      <c r="C84" s="14" t="inlineStr">
        <is>
          <t>dn</t>
        </is>
      </c>
      <c r="D84" s="28" t="n">
        <v>50</v>
      </c>
      <c r="E84" s="18" t="inlineStr">
        <is>
          <t>шт.</t>
        </is>
      </c>
    </row>
    <row r="86">
      <c r="B86" s="25" t="inlineStr">
        <is>
          <t>Расчет:</t>
        </is>
      </c>
    </row>
    <row r="87" ht="19" customHeight="1">
      <c r="B87" s="26" t="inlineStr">
        <is>
          <t>Показатель</t>
        </is>
      </c>
      <c r="C87" s="26" t="inlineStr">
        <is>
          <t>Формула</t>
        </is>
      </c>
      <c r="D87" s="26" t="inlineStr">
        <is>
          <t>Расчет в Excel</t>
        </is>
      </c>
      <c r="E87" s="26" t="inlineStr">
        <is>
          <t>Значение</t>
        </is>
      </c>
      <c r="F87" s="26" t="inlineStr">
        <is>
          <t>Ед. изм.</t>
        </is>
      </c>
    </row>
    <row r="88" ht="20" customHeight="1">
      <c r="B88" s="27" t="inlineStr">
        <is>
          <t>Сумма отказов к 4000 ч</t>
        </is>
      </c>
      <c r="C88" s="29" t="inlineStr">
        <is>
          <t>n_отк = n_отк1 + dn</t>
        </is>
      </c>
      <c r="D88" s="30">
        <f>D83+D84</f>
        <v/>
      </c>
      <c r="E88" s="31">
        <f>D83+D84</f>
        <v/>
      </c>
      <c r="F88" s="18" t="inlineStr">
        <is>
          <t>шт.</t>
        </is>
      </c>
    </row>
    <row r="89" ht="20" customHeight="1">
      <c r="B89" s="27" t="inlineStr">
        <is>
          <t>Работоспособно к 4000 ч</t>
        </is>
      </c>
      <c r="C89" s="29" t="inlineStr">
        <is>
          <t>n(4000) = N - n_отк</t>
        </is>
      </c>
      <c r="D89" s="30">
        <f>D82-E88</f>
        <v/>
      </c>
      <c r="E89" s="31">
        <f>D82-E88</f>
        <v/>
      </c>
      <c r="F89" s="18" t="inlineStr">
        <is>
          <t>шт.</t>
        </is>
      </c>
    </row>
    <row r="90" ht="20" customHeight="1">
      <c r="B90" s="27" t="inlineStr">
        <is>
          <t>Вероятность безотказной работы</t>
        </is>
      </c>
      <c r="C90" s="29" t="inlineStr">
        <is>
          <t>p = n(4000) / N</t>
        </is>
      </c>
      <c r="D90" s="30">
        <f>E89/D82</f>
        <v/>
      </c>
      <c r="E90" s="19">
        <f>E89/D82</f>
        <v/>
      </c>
      <c r="F90" s="18" t="inlineStr">
        <is>
          <t>—</t>
        </is>
      </c>
    </row>
    <row r="91" ht="20" customHeight="1">
      <c r="B91" s="27" t="inlineStr">
        <is>
          <t>Вероятность отказа</t>
        </is>
      </c>
      <c r="C91" s="29" t="inlineStr">
        <is>
          <t>q = 1 - p</t>
        </is>
      </c>
      <c r="D91" s="30">
        <f>1-E90</f>
        <v/>
      </c>
      <c r="E91" s="19">
        <f>1-E90</f>
        <v/>
      </c>
      <c r="F91" s="18" t="inlineStr">
        <is>
          <t>—</t>
        </is>
      </c>
    </row>
    <row r="92" ht="20" customHeight="1">
      <c r="B92" s="32" t="inlineStr">
        <is>
          <t>Ответ: p(4000) = 0,87; q(4000) = 0,13.</t>
        </is>
      </c>
      <c r="C92" s="33" t="n"/>
      <c r="D92" s="33" t="n"/>
      <c r="E92" s="33" t="n"/>
      <c r="F92" s="33" t="n"/>
    </row>
    <row r="94" ht="20" customHeight="1">
      <c r="B94" s="21" t="inlineStr">
        <is>
          <t>Задача 10. Характеристики изделий (N=1000)</t>
        </is>
      </c>
      <c r="C94" s="22" t="n"/>
      <c r="D94" s="22" t="n"/>
      <c r="E94" s="22" t="n"/>
      <c r="F94" s="22" t="n"/>
    </row>
    <row r="95" ht="16" customHeight="1">
      <c r="B95" s="23" t="inlineStr">
        <is>
          <t>Условие: На испытание поставлено 1000 изделий. К 1300 ч вышло из строя 288 изделий. За 1300-1400 ч вышло еще 13 изделий. Вычислить p(1300), p(1400), f(1300), λ(1300).</t>
        </is>
      </c>
      <c r="C95" s="24" t="n"/>
      <c r="D95" s="24" t="n"/>
      <c r="E95" s="24" t="n"/>
      <c r="F95" s="24" t="n"/>
    </row>
    <row r="96" ht="16" customHeight="1">
      <c r="B96" s="24" t="n"/>
      <c r="C96" s="24" t="n"/>
      <c r="D96" s="24" t="n"/>
      <c r="E96" s="24" t="n"/>
      <c r="F96" s="24" t="n"/>
    </row>
    <row r="97">
      <c r="B97" s="25" t="inlineStr">
        <is>
          <t>Исходные данные:</t>
        </is>
      </c>
    </row>
    <row r="98" ht="19" customHeight="1">
      <c r="B98" s="26" t="inlineStr">
        <is>
          <t>Параметр</t>
        </is>
      </c>
      <c r="C98" s="26" t="inlineStr">
        <is>
          <t>Обозначение</t>
        </is>
      </c>
      <c r="D98" s="26" t="inlineStr">
        <is>
          <t>Значение</t>
        </is>
      </c>
      <c r="E98" s="26" t="inlineStr">
        <is>
          <t>Ед. изм.</t>
        </is>
      </c>
    </row>
    <row r="99" ht="18" customHeight="1">
      <c r="B99" s="27" t="inlineStr">
        <is>
          <t>Число изделий</t>
        </is>
      </c>
      <c r="C99" s="14" t="inlineStr">
        <is>
          <t>N</t>
        </is>
      </c>
      <c r="D99" s="28" t="n">
        <v>1000</v>
      </c>
      <c r="E99" s="18" t="inlineStr">
        <is>
          <t>шт.</t>
        </is>
      </c>
    </row>
    <row r="100" ht="18" customHeight="1">
      <c r="B100" s="27" t="inlineStr">
        <is>
          <t>Время t1</t>
        </is>
      </c>
      <c r="C100" s="14" t="inlineStr">
        <is>
          <t>t1</t>
        </is>
      </c>
      <c r="D100" s="28" t="n">
        <v>1300</v>
      </c>
      <c r="E100" s="18" t="inlineStr">
        <is>
          <t>ч</t>
        </is>
      </c>
    </row>
    <row r="101" ht="18" customHeight="1">
      <c r="B101" s="27" t="inlineStr">
        <is>
          <t>Отказов к t1</t>
        </is>
      </c>
      <c r="C101" s="14" t="inlineStr">
        <is>
          <t>n_отк1</t>
        </is>
      </c>
      <c r="D101" s="28" t="n">
        <v>288</v>
      </c>
      <c r="E101" s="18" t="inlineStr">
        <is>
          <t>шт.</t>
        </is>
      </c>
    </row>
    <row r="102" ht="18" customHeight="1">
      <c r="B102" s="27" t="inlineStr">
        <is>
          <t>Интервал dt</t>
        </is>
      </c>
      <c r="C102" s="14" t="inlineStr">
        <is>
          <t>dt</t>
        </is>
      </c>
      <c r="D102" s="28" t="n">
        <v>100</v>
      </c>
      <c r="E102" s="18" t="inlineStr">
        <is>
          <t>ч</t>
        </is>
      </c>
    </row>
    <row r="103" ht="18" customHeight="1">
      <c r="B103" s="27" t="inlineStr">
        <is>
          <t>Отказов за dt</t>
        </is>
      </c>
      <c r="C103" s="14" t="inlineStr">
        <is>
          <t>dn</t>
        </is>
      </c>
      <c r="D103" s="28" t="n">
        <v>13</v>
      </c>
      <c r="E103" s="18" t="inlineStr">
        <is>
          <t>шт.</t>
        </is>
      </c>
    </row>
    <row r="105">
      <c r="B105" s="25" t="inlineStr">
        <is>
          <t>Расчет:</t>
        </is>
      </c>
    </row>
    <row r="106" ht="19" customHeight="1">
      <c r="B106" s="26" t="inlineStr">
        <is>
          <t>Показатель</t>
        </is>
      </c>
      <c r="C106" s="26" t="inlineStr">
        <is>
          <t>Формула</t>
        </is>
      </c>
      <c r="D106" s="26" t="inlineStr">
        <is>
          <t>Расчет в Excel</t>
        </is>
      </c>
      <c r="E106" s="26" t="inlineStr">
        <is>
          <t>Значение</t>
        </is>
      </c>
      <c r="F106" s="26" t="inlineStr">
        <is>
          <t>Ед. изм.</t>
        </is>
      </c>
    </row>
    <row r="107" ht="20" customHeight="1">
      <c r="B107" s="27" t="inlineStr">
        <is>
          <t>Работоспособно к 1300 ч</t>
        </is>
      </c>
      <c r="C107" s="29" t="inlineStr">
        <is>
          <t>n(1300) = N - n_отк1</t>
        </is>
      </c>
      <c r="D107" s="30">
        <f>D99-D101</f>
        <v/>
      </c>
      <c r="E107" s="31">
        <f>D99-D101</f>
        <v/>
      </c>
      <c r="F107" s="18" t="inlineStr">
        <is>
          <t>шт.</t>
        </is>
      </c>
    </row>
    <row r="108" ht="20" customHeight="1">
      <c r="B108" s="27" t="inlineStr">
        <is>
          <t>Работоспособно к 1400 ч</t>
        </is>
      </c>
      <c r="C108" s="29" t="inlineStr">
        <is>
          <t>n(1400) = n(1300) - dn</t>
        </is>
      </c>
      <c r="D108" s="30">
        <f>E107-D103</f>
        <v/>
      </c>
      <c r="E108" s="31">
        <f>E107-D103</f>
        <v/>
      </c>
      <c r="F108" s="18" t="inlineStr">
        <is>
          <t>шт.</t>
        </is>
      </c>
    </row>
    <row r="109" ht="20" customHeight="1">
      <c r="B109" s="27" t="inlineStr">
        <is>
          <t>Вероятность p(1300)</t>
        </is>
      </c>
      <c r="C109" s="29" t="inlineStr">
        <is>
          <t>p(1300) = n(1300) / N</t>
        </is>
      </c>
      <c r="D109" s="30">
        <f>E107/D99</f>
        <v/>
      </c>
      <c r="E109" s="19">
        <f>E107/D99</f>
        <v/>
      </c>
      <c r="F109" s="18" t="inlineStr">
        <is>
          <t>—</t>
        </is>
      </c>
    </row>
    <row r="110" ht="20" customHeight="1">
      <c r="B110" s="27" t="inlineStr">
        <is>
          <t>Вероятность p(1400)</t>
        </is>
      </c>
      <c r="C110" s="29" t="inlineStr">
        <is>
          <t>p(1400) = n(1400) / N</t>
        </is>
      </c>
      <c r="D110" s="30">
        <f>E108/D99</f>
        <v/>
      </c>
      <c r="E110" s="19">
        <f>E108/D99</f>
        <v/>
      </c>
      <c r="F110" s="18" t="inlineStr">
        <is>
          <t>—</t>
        </is>
      </c>
    </row>
    <row r="111" ht="20" customHeight="1">
      <c r="B111" s="27" t="inlineStr">
        <is>
          <t>Частота f(1300)</t>
        </is>
      </c>
      <c r="C111" s="29" t="inlineStr">
        <is>
          <t>f = dn / (N · dt)</t>
        </is>
      </c>
      <c r="D111" s="30">
        <f>D103/(D99*D102)</f>
        <v/>
      </c>
      <c r="E111" s="34">
        <f>D103/(D99*D102)</f>
        <v/>
      </c>
      <c r="F111" s="18" t="inlineStr">
        <is>
          <t>1/ч</t>
        </is>
      </c>
    </row>
    <row r="112" ht="20" customHeight="1">
      <c r="B112" s="27" t="inlineStr">
        <is>
          <t>Интенсивность λ(1300)</t>
        </is>
      </c>
      <c r="C112" s="29" t="inlineStr">
        <is>
          <t>λ = dn / (n(1300) · dt)</t>
        </is>
      </c>
      <c r="D112" s="30">
        <f>D103/(E107*D102)</f>
        <v/>
      </c>
      <c r="E112" s="34">
        <f>D103/(E107*D102)</f>
        <v/>
      </c>
      <c r="F112" s="18" t="inlineStr">
        <is>
          <t>1/ч</t>
        </is>
      </c>
    </row>
    <row r="113" ht="20" customHeight="1">
      <c r="B113" s="32" t="inlineStr">
        <is>
          <t>Ответ: p(1300) = 0,712; p(1400) = 0,699; f(1300) = 0,00013 1/ч; λ(1300) = 0,000183 1/ч.</t>
        </is>
      </c>
      <c r="C113" s="33" t="n"/>
      <c r="D113" s="33" t="n"/>
      <c r="E113" s="33" t="n"/>
      <c r="F113" s="33" t="n"/>
    </row>
    <row r="115" ht="20" customHeight="1">
      <c r="B115" s="21" t="inlineStr">
        <is>
          <t>Задача 11. Характеристики изделий (N=45)</t>
        </is>
      </c>
      <c r="C115" s="22" t="n"/>
      <c r="D115" s="22" t="n"/>
      <c r="E115" s="22" t="n"/>
      <c r="F115" s="22" t="n"/>
    </row>
    <row r="116" ht="16" customHeight="1">
      <c r="B116" s="23" t="inlineStr">
        <is>
          <t>Условие: На испытание поставлено 45 изделий. К 60 ч вышло из строя 35 изделий. За 60-65 ч вышло еще 3 изделия. Вычислить p(60), p(65), f(60), λ(60).</t>
        </is>
      </c>
      <c r="C116" s="24" t="n"/>
      <c r="D116" s="24" t="n"/>
      <c r="E116" s="24" t="n"/>
      <c r="F116" s="24" t="n"/>
    </row>
    <row r="117" ht="16" customHeight="1">
      <c r="B117" s="24" t="n"/>
      <c r="C117" s="24" t="n"/>
      <c r="D117" s="24" t="n"/>
      <c r="E117" s="24" t="n"/>
      <c r="F117" s="24" t="n"/>
    </row>
    <row r="118">
      <c r="B118" s="25" t="inlineStr">
        <is>
          <t>Исходные данные:</t>
        </is>
      </c>
    </row>
    <row r="119" ht="19" customHeight="1">
      <c r="B119" s="26" t="inlineStr">
        <is>
          <t>Параметр</t>
        </is>
      </c>
      <c r="C119" s="26" t="inlineStr">
        <is>
          <t>Обозначение</t>
        </is>
      </c>
      <c r="D119" s="26" t="inlineStr">
        <is>
          <t>Значение</t>
        </is>
      </c>
      <c r="E119" s="26" t="inlineStr">
        <is>
          <t>Ед. изм.</t>
        </is>
      </c>
    </row>
    <row r="120" ht="18" customHeight="1">
      <c r="B120" s="27" t="inlineStr">
        <is>
          <t>Число изделий</t>
        </is>
      </c>
      <c r="C120" s="14" t="inlineStr">
        <is>
          <t>N</t>
        </is>
      </c>
      <c r="D120" s="28" t="n">
        <v>45</v>
      </c>
      <c r="E120" s="18" t="inlineStr">
        <is>
          <t>шт.</t>
        </is>
      </c>
    </row>
    <row r="121" ht="18" customHeight="1">
      <c r="B121" s="27" t="inlineStr">
        <is>
          <t>Время t1</t>
        </is>
      </c>
      <c r="C121" s="14" t="inlineStr">
        <is>
          <t>t1</t>
        </is>
      </c>
      <c r="D121" s="28" t="n">
        <v>60</v>
      </c>
      <c r="E121" s="18" t="inlineStr">
        <is>
          <t>ч</t>
        </is>
      </c>
    </row>
    <row r="122" ht="18" customHeight="1">
      <c r="B122" s="27" t="inlineStr">
        <is>
          <t>Отказов к t1</t>
        </is>
      </c>
      <c r="C122" s="14" t="inlineStr">
        <is>
          <t>n_отк1</t>
        </is>
      </c>
      <c r="D122" s="28" t="n">
        <v>35</v>
      </c>
      <c r="E122" s="18" t="inlineStr">
        <is>
          <t>шт.</t>
        </is>
      </c>
    </row>
    <row r="123" ht="18" customHeight="1">
      <c r="B123" s="27" t="inlineStr">
        <is>
          <t>Интервал dt</t>
        </is>
      </c>
      <c r="C123" s="14" t="inlineStr">
        <is>
          <t>dt</t>
        </is>
      </c>
      <c r="D123" s="28" t="n">
        <v>5</v>
      </c>
      <c r="E123" s="18" t="inlineStr">
        <is>
          <t>ч</t>
        </is>
      </c>
    </row>
    <row r="124" ht="18" customHeight="1">
      <c r="B124" s="27" t="inlineStr">
        <is>
          <t>Отказов за dt</t>
        </is>
      </c>
      <c r="C124" s="14" t="inlineStr">
        <is>
          <t>dn</t>
        </is>
      </c>
      <c r="D124" s="28" t="n">
        <v>3</v>
      </c>
      <c r="E124" s="18" t="inlineStr">
        <is>
          <t>шт.</t>
        </is>
      </c>
    </row>
    <row r="126">
      <c r="B126" s="25" t="inlineStr">
        <is>
          <t>Расчет:</t>
        </is>
      </c>
    </row>
    <row r="127" ht="19" customHeight="1">
      <c r="B127" s="26" t="inlineStr">
        <is>
          <t>Показатель</t>
        </is>
      </c>
      <c r="C127" s="26" t="inlineStr">
        <is>
          <t>Формула</t>
        </is>
      </c>
      <c r="D127" s="26" t="inlineStr">
        <is>
          <t>Расчет в Excel</t>
        </is>
      </c>
      <c r="E127" s="26" t="inlineStr">
        <is>
          <t>Значение</t>
        </is>
      </c>
      <c r="F127" s="26" t="inlineStr">
        <is>
          <t>Ед. изм.</t>
        </is>
      </c>
    </row>
    <row r="128" ht="20" customHeight="1">
      <c r="B128" s="27" t="inlineStr">
        <is>
          <t>Работоспособно к 60 ч</t>
        </is>
      </c>
      <c r="C128" s="29" t="inlineStr">
        <is>
          <t>n(60) = N - n_отк1</t>
        </is>
      </c>
      <c r="D128" s="30">
        <f>D120-D122</f>
        <v/>
      </c>
      <c r="E128" s="31">
        <f>D120-D122</f>
        <v/>
      </c>
      <c r="F128" s="18" t="inlineStr">
        <is>
          <t>шт.</t>
        </is>
      </c>
    </row>
    <row r="129" ht="20" customHeight="1">
      <c r="B129" s="27" t="inlineStr">
        <is>
          <t>Работоспособно к 65 ч</t>
        </is>
      </c>
      <c r="C129" s="29" t="inlineStr">
        <is>
          <t>n(65) = n(60) - dn</t>
        </is>
      </c>
      <c r="D129" s="30">
        <f>E128-D124</f>
        <v/>
      </c>
      <c r="E129" s="31">
        <f>E128-D124</f>
        <v/>
      </c>
      <c r="F129" s="18" t="inlineStr">
        <is>
          <t>шт.</t>
        </is>
      </c>
    </row>
    <row r="130" ht="20" customHeight="1">
      <c r="B130" s="27" t="inlineStr">
        <is>
          <t>Вероятность p(60)</t>
        </is>
      </c>
      <c r="C130" s="29" t="inlineStr">
        <is>
          <t>p(60) = n(60) / N</t>
        </is>
      </c>
      <c r="D130" s="30">
        <f>E128/D120</f>
        <v/>
      </c>
      <c r="E130" s="19">
        <f>E128/D120</f>
        <v/>
      </c>
      <c r="F130" s="18" t="inlineStr">
        <is>
          <t>—</t>
        </is>
      </c>
    </row>
    <row r="131" ht="20" customHeight="1">
      <c r="B131" s="27" t="inlineStr">
        <is>
          <t>Вероятность p(65)</t>
        </is>
      </c>
      <c r="C131" s="29" t="inlineStr">
        <is>
          <t>p(65) = n(65) / N</t>
        </is>
      </c>
      <c r="D131" s="30">
        <f>E129/D120</f>
        <v/>
      </c>
      <c r="E131" s="19">
        <f>E129/D120</f>
        <v/>
      </c>
      <c r="F131" s="18" t="inlineStr">
        <is>
          <t>—</t>
        </is>
      </c>
    </row>
    <row r="132" ht="20" customHeight="1">
      <c r="B132" s="27" t="inlineStr">
        <is>
          <t>Частота f(60)</t>
        </is>
      </c>
      <c r="C132" s="29" t="inlineStr">
        <is>
          <t>f = dn / (N · dt)</t>
        </is>
      </c>
      <c r="D132" s="30">
        <f>D124/(D120*D123)</f>
        <v/>
      </c>
      <c r="E132" s="34">
        <f>D124/(D120*D123)</f>
        <v/>
      </c>
      <c r="F132" s="18" t="inlineStr">
        <is>
          <t>1/ч</t>
        </is>
      </c>
    </row>
    <row r="133" ht="20" customHeight="1">
      <c r="B133" s="27" t="inlineStr">
        <is>
          <t>Интенсивность λ(60)</t>
        </is>
      </c>
      <c r="C133" s="29" t="inlineStr">
        <is>
          <t>λ = dn / (n(60) · dt)</t>
        </is>
      </c>
      <c r="D133" s="30">
        <f>D124/(E128*D123)</f>
        <v/>
      </c>
      <c r="E133" s="34">
        <f>D124/(E128*D123)</f>
        <v/>
      </c>
      <c r="F133" s="18" t="inlineStr">
        <is>
          <t>1/ч</t>
        </is>
      </c>
    </row>
    <row r="134" ht="20" customHeight="1">
      <c r="B134" s="32" t="inlineStr">
        <is>
          <t>Ответ: p(60) = 0,2222; p(65) = 0,1556; f(60) = 0,013333 1/ч; λ(60) = 0,060000 1/ч.</t>
        </is>
      </c>
      <c r="C134" s="33" t="n"/>
      <c r="D134" s="33" t="n"/>
      <c r="E134" s="33" t="n"/>
      <c r="F134" s="33" t="n"/>
    </row>
    <row r="136" ht="20" customHeight="1">
      <c r="B136" s="21" t="inlineStr">
        <is>
          <t>Задача 12. Среднее время безотказной работы по группированным данным</t>
        </is>
      </c>
      <c r="C136" s="22" t="n"/>
      <c r="D136" s="22" t="n"/>
      <c r="E136" s="22" t="n"/>
      <c r="F136" s="22" t="n"/>
    </row>
    <row r="137" ht="16" customHeight="1">
      <c r="B137" s="23" t="inlineStr">
        <is>
          <t>Условие: Наблюдение за 45 образцами РЭО (после 80-часовой приработки). Данные по интервалам до первого отказа сведены в таблицу. Найти mt*.</t>
        </is>
      </c>
      <c r="C137" s="24" t="n"/>
      <c r="D137" s="24" t="n"/>
      <c r="E137" s="24" t="n"/>
      <c r="F137" s="24" t="n"/>
    </row>
    <row r="138" ht="16" customHeight="1">
      <c r="B138" s="24" t="n"/>
      <c r="C138" s="24" t="n"/>
      <c r="D138" s="24" t="n"/>
      <c r="E138" s="24" t="n"/>
      <c r="F138" s="24" t="n"/>
    </row>
    <row r="139">
      <c r="B139" s="25" t="inlineStr">
        <is>
          <t>Расчетная таблица интервалов:</t>
        </is>
      </c>
    </row>
    <row r="140" ht="19" customHeight="1">
      <c r="B140" s="26" t="inlineStr">
        <is>
          <t>№</t>
        </is>
      </c>
      <c r="C140" s="26" t="inlineStr">
        <is>
          <t>Интервал Δti, ч</t>
        </is>
      </c>
      <c r="D140" s="26" t="inlineStr">
        <is>
          <t>Середина tср.i, ч</t>
        </is>
      </c>
      <c r="E140" s="26" t="inlineStr">
        <is>
          <t>Отказов ni, шт.</t>
        </is>
      </c>
      <c r="F140" s="26" t="inlineStr">
        <is>
          <t>ni · tср.i, ч</t>
        </is>
      </c>
    </row>
    <row r="141" ht="18" customHeight="1">
      <c r="B141" s="18" t="n">
        <v>1</v>
      </c>
      <c r="C141" s="18" t="inlineStr">
        <is>
          <t>0-10</t>
        </is>
      </c>
      <c r="D141" s="35" t="n">
        <v>5</v>
      </c>
      <c r="E141" s="36" t="n">
        <v>19</v>
      </c>
      <c r="F141" s="37">
        <f>D141*E141</f>
        <v/>
      </c>
    </row>
    <row r="142" ht="18" customHeight="1">
      <c r="B142" s="18" t="n">
        <v>2</v>
      </c>
      <c r="C142" s="18" t="inlineStr">
        <is>
          <t>10-20</t>
        </is>
      </c>
      <c r="D142" s="35" t="n">
        <v>15</v>
      </c>
      <c r="E142" s="36" t="n">
        <v>13</v>
      </c>
      <c r="F142" s="37">
        <f>D142*E142</f>
        <v/>
      </c>
    </row>
    <row r="143" ht="18" customHeight="1">
      <c r="B143" s="18" t="n">
        <v>3</v>
      </c>
      <c r="C143" s="18" t="inlineStr">
        <is>
          <t>20-30</t>
        </is>
      </c>
      <c r="D143" s="35" t="n">
        <v>25</v>
      </c>
      <c r="E143" s="36" t="n">
        <v>8</v>
      </c>
      <c r="F143" s="37">
        <f>D143*E143</f>
        <v/>
      </c>
    </row>
    <row r="144" ht="18" customHeight="1">
      <c r="B144" s="18" t="n">
        <v>4</v>
      </c>
      <c r="C144" s="18" t="inlineStr">
        <is>
          <t>30-40</t>
        </is>
      </c>
      <c r="D144" s="35" t="n">
        <v>35</v>
      </c>
      <c r="E144" s="36" t="n">
        <v>3</v>
      </c>
      <c r="F144" s="37">
        <f>D144*E144</f>
        <v/>
      </c>
    </row>
    <row r="145" ht="18" customHeight="1">
      <c r="B145" s="18" t="n">
        <v>5</v>
      </c>
      <c r="C145" s="18" t="inlineStr">
        <is>
          <t>40-50</t>
        </is>
      </c>
      <c r="D145" s="35" t="n">
        <v>45</v>
      </c>
      <c r="E145" s="36" t="n">
        <v>0</v>
      </c>
      <c r="F145" s="37">
        <f>D145*E145</f>
        <v/>
      </c>
    </row>
    <row r="146" ht="18" customHeight="1">
      <c r="B146" s="18" t="n">
        <v>6</v>
      </c>
      <c r="C146" s="18" t="inlineStr">
        <is>
          <t>50-60</t>
        </is>
      </c>
      <c r="D146" s="35" t="n">
        <v>55</v>
      </c>
      <c r="E146" s="36" t="n">
        <v>1</v>
      </c>
      <c r="F146" s="37">
        <f>D146*E146</f>
        <v/>
      </c>
    </row>
    <row r="147" ht="18" customHeight="1">
      <c r="B147" s="18" t="n">
        <v>7</v>
      </c>
      <c r="C147" s="18" t="inlineStr">
        <is>
          <t>60-70</t>
        </is>
      </c>
      <c r="D147" s="35" t="n">
        <v>65</v>
      </c>
      <c r="E147" s="36" t="n">
        <v>1</v>
      </c>
      <c r="F147" s="37">
        <f>D147*E147</f>
        <v/>
      </c>
    </row>
    <row r="148">
      <c r="B148" s="38" t="inlineStr">
        <is>
          <t>Сумма:</t>
        </is>
      </c>
      <c r="C148" s="39" t="n"/>
      <c r="D148" s="39" t="n"/>
      <c r="E148" s="38">
        <f>SUM(E141:E147)</f>
        <v/>
      </c>
      <c r="F148" s="38">
        <f>SUM(F141:F147)</f>
        <v/>
      </c>
    </row>
    <row r="150">
      <c r="B150" s="40" t="inlineStr">
        <is>
          <t>Среднее время безотказной работы mt* = Σ(ni·tср.i) / N:</t>
        </is>
      </c>
      <c r="E150" s="20">
        <f>F148/E148</f>
        <v/>
      </c>
      <c r="F150" s="41" t="inlineStr">
        <is>
          <t>ч</t>
        </is>
      </c>
    </row>
    <row r="151">
      <c r="B151" s="32" t="inlineStr">
        <is>
          <t>Ответ: mt* = 15,89 ч (с учетом приработки 80 ч: T = 95,89 ч).</t>
        </is>
      </c>
      <c r="C151" s="33" t="n"/>
      <c r="D151" s="33" t="n"/>
      <c r="E151" s="33" t="n"/>
      <c r="F151" s="33" t="n"/>
    </row>
    <row r="153" ht="20" customHeight="1">
      <c r="B153" s="21" t="inlineStr">
        <is>
          <t>Задача 13. Среднее время и дисперсия по наработкам 8 изделий</t>
        </is>
      </c>
      <c r="C153" s="22" t="n"/>
      <c r="D153" s="22" t="n"/>
      <c r="E153" s="22" t="n"/>
      <c r="F153" s="22" t="n"/>
    </row>
    <row r="154" ht="16" customHeight="1">
      <c r="B154" s="23" t="inlineStr">
        <is>
          <t>Условие: На испытание поставлено 8 изделий: ti = {560, 700, 800, 650, 580, 760, 920, 850} ч. Найти среднее время mt* и дисперсию.</t>
        </is>
      </c>
      <c r="C154" s="24" t="n"/>
      <c r="D154" s="24" t="n"/>
      <c r="E154" s="24" t="n"/>
      <c r="F154" s="24" t="n"/>
    </row>
    <row r="155" ht="16" customHeight="1">
      <c r="B155" s="24" t="n"/>
      <c r="C155" s="24" t="n"/>
      <c r="D155" s="24" t="n"/>
      <c r="E155" s="24" t="n"/>
      <c r="F155" s="24" t="n"/>
    </row>
    <row r="156">
      <c r="B156" s="25" t="inlineStr">
        <is>
          <t>Выборка наработок изделий:</t>
        </is>
      </c>
    </row>
    <row r="157" ht="19" customHeight="1">
      <c r="B157" s="26" t="inlineStr">
        <is>
          <t>№ изделия</t>
        </is>
      </c>
      <c r="C157" s="26" t="inlineStr">
        <is>
          <t>Обозначение</t>
        </is>
      </c>
      <c r="D157" s="26" t="inlineStr">
        <is>
          <t>Время работы ti, ч</t>
        </is>
      </c>
    </row>
    <row r="158" ht="18" customHeight="1">
      <c r="B158" s="18" t="n">
        <v>1</v>
      </c>
      <c r="C158" s="14" t="inlineStr">
        <is>
          <t>t1</t>
        </is>
      </c>
      <c r="D158" s="36" t="n">
        <v>560</v>
      </c>
    </row>
    <row r="159" ht="18" customHeight="1">
      <c r="B159" s="18" t="n">
        <v>2</v>
      </c>
      <c r="C159" s="14" t="inlineStr">
        <is>
          <t>t2</t>
        </is>
      </c>
      <c r="D159" s="36" t="n">
        <v>700</v>
      </c>
    </row>
    <row r="160" ht="18" customHeight="1">
      <c r="B160" s="18" t="n">
        <v>3</v>
      </c>
      <c r="C160" s="14" t="inlineStr">
        <is>
          <t>t3</t>
        </is>
      </c>
      <c r="D160" s="36" t="n">
        <v>800</v>
      </c>
    </row>
    <row r="161" ht="18" customHeight="1">
      <c r="B161" s="18" t="n">
        <v>4</v>
      </c>
      <c r="C161" s="14" t="inlineStr">
        <is>
          <t>t4</t>
        </is>
      </c>
      <c r="D161" s="36" t="n">
        <v>650</v>
      </c>
    </row>
    <row r="162" ht="18" customHeight="1">
      <c r="B162" s="18" t="n">
        <v>5</v>
      </c>
      <c r="C162" s="14" t="inlineStr">
        <is>
          <t>t5</t>
        </is>
      </c>
      <c r="D162" s="36" t="n">
        <v>580</v>
      </c>
    </row>
    <row r="163" ht="18" customHeight="1">
      <c r="B163" s="18" t="n">
        <v>6</v>
      </c>
      <c r="C163" s="14" t="inlineStr">
        <is>
          <t>t6</t>
        </is>
      </c>
      <c r="D163" s="36" t="n">
        <v>760</v>
      </c>
    </row>
    <row r="164" ht="18" customHeight="1">
      <c r="B164" s="18" t="n">
        <v>7</v>
      </c>
      <c r="C164" s="14" t="inlineStr">
        <is>
          <t>t7</t>
        </is>
      </c>
      <c r="D164" s="36" t="n">
        <v>920</v>
      </c>
    </row>
    <row r="165" ht="18" customHeight="1">
      <c r="B165" s="18" t="n">
        <v>8</v>
      </c>
      <c r="C165" s="14" t="inlineStr">
        <is>
          <t>t8</t>
        </is>
      </c>
      <c r="D165" s="36" t="n">
        <v>850</v>
      </c>
    </row>
    <row r="166">
      <c r="B166" s="38" t="inlineStr">
        <is>
          <t>Сумма Σti:</t>
        </is>
      </c>
      <c r="C166" s="39" t="n"/>
      <c r="D166" s="38">
        <f>SUM(D158:D165)</f>
        <v/>
      </c>
    </row>
    <row r="168">
      <c r="B168" s="40" t="inlineStr">
        <is>
          <t>Среднее время mt* = Σti / N:</t>
        </is>
      </c>
      <c r="E168" s="20">
        <f>AVERAGE(D158:D165)</f>
        <v/>
      </c>
      <c r="F168" s="41" t="inlineStr">
        <is>
          <t>ч</t>
        </is>
      </c>
    </row>
    <row r="169">
      <c r="B169" s="40" t="inlineStr">
        <is>
          <t>Выборочная дисперсия Dt*:</t>
        </is>
      </c>
      <c r="E169" s="42">
        <f>VAR.S(D158:D165)</f>
        <v/>
      </c>
      <c r="F169" s="41" t="inlineStr">
        <is>
          <t>ч²</t>
        </is>
      </c>
    </row>
    <row r="170">
      <c r="B170" s="32" t="inlineStr">
        <is>
          <t>Ответ: mt* = 727,50 ч; Dt* = 16307,14 ч² (СКО σ = 127,70 ч).</t>
        </is>
      </c>
      <c r="C170" s="33" t="n"/>
      <c r="D170" s="33" t="n"/>
      <c r="E170" s="33" t="n"/>
      <c r="F170" s="33" t="n"/>
    </row>
    <row r="172" ht="20" customHeight="1">
      <c r="B172" s="21" t="inlineStr">
        <is>
          <t>Задача 14. Среднее время восстановления аппаратуры</t>
        </is>
      </c>
      <c r="C172" s="22" t="n"/>
      <c r="D172" s="22" t="n"/>
      <c r="E172" s="22" t="n"/>
      <c r="F172" s="22" t="n"/>
    </row>
    <row r="173" ht="16" customHeight="1">
      <c r="B173" s="23" t="inlineStr">
        <is>
          <t>Условие: Зарегистрировано 6 отказов. Время восстановления: 15, 20, 10, 28, 22, 30 мин. Найти среднее время восстановления mt.</t>
        </is>
      </c>
      <c r="C173" s="24" t="n"/>
      <c r="D173" s="24" t="n"/>
      <c r="E173" s="24" t="n"/>
      <c r="F173" s="24" t="n"/>
    </row>
    <row r="174" ht="16" customHeight="1">
      <c r="B174" s="24" t="n"/>
      <c r="C174" s="24" t="n"/>
      <c r="D174" s="24" t="n"/>
      <c r="E174" s="24" t="n"/>
      <c r="F174" s="24" t="n"/>
    </row>
    <row r="175">
      <c r="B175" s="25" t="inlineStr">
        <is>
          <t>Данные по отказам:</t>
        </is>
      </c>
    </row>
    <row r="176" ht="19" customHeight="1">
      <c r="B176" s="26" t="inlineStr">
        <is>
          <t>№ отказа</t>
        </is>
      </c>
      <c r="C176" s="26" t="inlineStr">
        <is>
          <t>Обозначение</t>
        </is>
      </c>
      <c r="D176" s="26" t="inlineStr">
        <is>
          <t>Время восстановления tв.i, мин</t>
        </is>
      </c>
    </row>
    <row r="177" ht="18" customHeight="1">
      <c r="B177" s="18" t="n">
        <v>1</v>
      </c>
      <c r="C177" s="14" t="inlineStr">
        <is>
          <t>t1</t>
        </is>
      </c>
      <c r="D177" s="36" t="n">
        <v>15</v>
      </c>
    </row>
    <row r="178" ht="18" customHeight="1">
      <c r="B178" s="18" t="n">
        <v>2</v>
      </c>
      <c r="C178" s="14" t="inlineStr">
        <is>
          <t>t2</t>
        </is>
      </c>
      <c r="D178" s="36" t="n">
        <v>20</v>
      </c>
    </row>
    <row r="179" ht="18" customHeight="1">
      <c r="B179" s="18" t="n">
        <v>3</v>
      </c>
      <c r="C179" s="14" t="inlineStr">
        <is>
          <t>t3</t>
        </is>
      </c>
      <c r="D179" s="36" t="n">
        <v>10</v>
      </c>
    </row>
    <row r="180" ht="18" customHeight="1">
      <c r="B180" s="18" t="n">
        <v>4</v>
      </c>
      <c r="C180" s="14" t="inlineStr">
        <is>
          <t>t4</t>
        </is>
      </c>
      <c r="D180" s="36" t="n">
        <v>28</v>
      </c>
    </row>
    <row r="181" ht="18" customHeight="1">
      <c r="B181" s="18" t="n">
        <v>5</v>
      </c>
      <c r="C181" s="14" t="inlineStr">
        <is>
          <t>t5</t>
        </is>
      </c>
      <c r="D181" s="36" t="n">
        <v>22</v>
      </c>
    </row>
    <row r="182" ht="18" customHeight="1">
      <c r="B182" s="18" t="n">
        <v>6</v>
      </c>
      <c r="C182" s="14" t="inlineStr">
        <is>
          <t>t6</t>
        </is>
      </c>
      <c r="D182" s="36" t="n">
        <v>30</v>
      </c>
    </row>
    <row r="183">
      <c r="B183" s="38" t="inlineStr">
        <is>
          <t>Сумма времени:</t>
        </is>
      </c>
      <c r="C183" s="39" t="n"/>
      <c r="D183" s="38">
        <f>SUM(D177:D182)</f>
        <v/>
      </c>
    </row>
    <row r="185">
      <c r="B185" s="40" t="inlineStr">
        <is>
          <t>Среднее время восстановления mt = Σtв.i / N:</t>
        </is>
      </c>
      <c r="E185" s="20">
        <f>AVERAGE(D177:D182)</f>
        <v/>
      </c>
      <c r="F185" s="41" t="inlineStr">
        <is>
          <t>мин</t>
        </is>
      </c>
    </row>
    <row r="186">
      <c r="B186" s="32" t="inlineStr">
        <is>
          <t>Ответ: Среднее время восстановления аппаратуры mt = 20,83 мин (0,35 ч).</t>
        </is>
      </c>
      <c r="C186" s="33" t="n"/>
      <c r="D186" s="33" t="n"/>
      <c r="E186" s="33" t="n"/>
      <c r="F186" s="33" t="n"/>
    </row>
    <row r="188" ht="20" customHeight="1">
      <c r="B188" s="21" t="inlineStr">
        <is>
          <t>Задача 15. Характеристики изделий при t = 11000 ч и 12000 ч</t>
        </is>
      </c>
      <c r="C188" s="22" t="n"/>
      <c r="D188" s="22" t="n"/>
      <c r="E188" s="22" t="n"/>
      <c r="F188" s="22" t="n"/>
    </row>
    <row r="189" ht="16" customHeight="1">
      <c r="B189" s="23" t="inlineStr">
        <is>
          <t>Условие: На испытание поставлено 1000 изделий. К 11000 ч вышло из строя 410 изделий. За 11000-12000 ч вышло еще 40 изделий. Найти p(11000), p(12000), f(11000), λ(11000).</t>
        </is>
      </c>
      <c r="C189" s="24" t="n"/>
      <c r="D189" s="24" t="n"/>
      <c r="E189" s="24" t="n"/>
      <c r="F189" s="24" t="n"/>
    </row>
    <row r="190" ht="16" customHeight="1">
      <c r="B190" s="24" t="n"/>
      <c r="C190" s="24" t="n"/>
      <c r="D190" s="24" t="n"/>
      <c r="E190" s="24" t="n"/>
      <c r="F190" s="24" t="n"/>
    </row>
    <row r="191">
      <c r="B191" s="25" t="inlineStr">
        <is>
          <t>Исходные данные:</t>
        </is>
      </c>
    </row>
    <row r="192" ht="19" customHeight="1">
      <c r="B192" s="26" t="inlineStr">
        <is>
          <t>Параметр</t>
        </is>
      </c>
      <c r="C192" s="26" t="inlineStr">
        <is>
          <t>Обозначение</t>
        </is>
      </c>
      <c r="D192" s="26" t="inlineStr">
        <is>
          <t>Значение</t>
        </is>
      </c>
      <c r="E192" s="26" t="inlineStr">
        <is>
          <t>Ед. изм.</t>
        </is>
      </c>
    </row>
    <row r="193" ht="18" customHeight="1">
      <c r="B193" s="27" t="inlineStr">
        <is>
          <t>Число изделий</t>
        </is>
      </c>
      <c r="C193" s="14" t="inlineStr">
        <is>
          <t>N</t>
        </is>
      </c>
      <c r="D193" s="28" t="n">
        <v>1000</v>
      </c>
      <c r="E193" s="18" t="inlineStr">
        <is>
          <t>шт.</t>
        </is>
      </c>
    </row>
    <row r="194" ht="18" customHeight="1">
      <c r="B194" s="27" t="inlineStr">
        <is>
          <t>Время t1</t>
        </is>
      </c>
      <c r="C194" s="14" t="inlineStr">
        <is>
          <t>t1</t>
        </is>
      </c>
      <c r="D194" s="28" t="n">
        <v>11000</v>
      </c>
      <c r="E194" s="18" t="inlineStr">
        <is>
          <t>ч</t>
        </is>
      </c>
    </row>
    <row r="195" ht="18" customHeight="1">
      <c r="B195" s="27" t="inlineStr">
        <is>
          <t>Отказов к t1</t>
        </is>
      </c>
      <c r="C195" s="14" t="inlineStr">
        <is>
          <t>n_отк1</t>
        </is>
      </c>
      <c r="D195" s="28" t="n">
        <v>410</v>
      </c>
      <c r="E195" s="18" t="inlineStr">
        <is>
          <t>шт.</t>
        </is>
      </c>
    </row>
    <row r="196" ht="18" customHeight="1">
      <c r="B196" s="27" t="inlineStr">
        <is>
          <t>Интервал dt</t>
        </is>
      </c>
      <c r="C196" s="14" t="inlineStr">
        <is>
          <t>dt</t>
        </is>
      </c>
      <c r="D196" s="28" t="n">
        <v>1000</v>
      </c>
      <c r="E196" s="18" t="inlineStr">
        <is>
          <t>ч</t>
        </is>
      </c>
    </row>
    <row r="197" ht="18" customHeight="1">
      <c r="B197" s="27" t="inlineStr">
        <is>
          <t>Отказов за dt</t>
        </is>
      </c>
      <c r="C197" s="14" t="inlineStr">
        <is>
          <t>dn</t>
        </is>
      </c>
      <c r="D197" s="28" t="n">
        <v>40</v>
      </c>
      <c r="E197" s="18" t="inlineStr">
        <is>
          <t>шт.</t>
        </is>
      </c>
    </row>
    <row r="199">
      <c r="B199" s="25" t="inlineStr">
        <is>
          <t>Расчет:</t>
        </is>
      </c>
    </row>
    <row r="200" ht="19" customHeight="1">
      <c r="B200" s="26" t="inlineStr">
        <is>
          <t>Показатель</t>
        </is>
      </c>
      <c r="C200" s="26" t="inlineStr">
        <is>
          <t>Формула</t>
        </is>
      </c>
      <c r="D200" s="26" t="inlineStr">
        <is>
          <t>Расчет в Excel</t>
        </is>
      </c>
      <c r="E200" s="26" t="inlineStr">
        <is>
          <t>Значение</t>
        </is>
      </c>
      <c r="F200" s="26" t="inlineStr">
        <is>
          <t>Ед. изм.</t>
        </is>
      </c>
    </row>
    <row r="201" ht="20" customHeight="1">
      <c r="B201" s="27" t="inlineStr">
        <is>
          <t>Работоспособно к 11000 ч</t>
        </is>
      </c>
      <c r="C201" s="29" t="inlineStr">
        <is>
          <t>n(11000) = N - n_отк1</t>
        </is>
      </c>
      <c r="D201" s="30">
        <f>D193-D195</f>
        <v/>
      </c>
      <c r="E201" s="31">
        <f>D193-D195</f>
        <v/>
      </c>
      <c r="F201" s="18" t="inlineStr">
        <is>
          <t>шт.</t>
        </is>
      </c>
    </row>
    <row r="202" ht="20" customHeight="1">
      <c r="B202" s="27" t="inlineStr">
        <is>
          <t>Работоспособно к 12000 ч</t>
        </is>
      </c>
      <c r="C202" s="29" t="inlineStr">
        <is>
          <t>n(12000) = n(11000) - dn</t>
        </is>
      </c>
      <c r="D202" s="30">
        <f>E201-D197</f>
        <v/>
      </c>
      <c r="E202" s="31">
        <f>E201-D197</f>
        <v/>
      </c>
      <c r="F202" s="18" t="inlineStr">
        <is>
          <t>шт.</t>
        </is>
      </c>
    </row>
    <row r="203" ht="20" customHeight="1">
      <c r="B203" s="27" t="inlineStr">
        <is>
          <t>Вероятность p(11000)</t>
        </is>
      </c>
      <c r="C203" s="29" t="inlineStr">
        <is>
          <t>p(11000) = n(11000) / N</t>
        </is>
      </c>
      <c r="D203" s="30">
        <f>E201/D193</f>
        <v/>
      </c>
      <c r="E203" s="19">
        <f>E201/D193</f>
        <v/>
      </c>
      <c r="F203" s="18" t="inlineStr">
        <is>
          <t>—</t>
        </is>
      </c>
    </row>
    <row r="204" ht="20" customHeight="1">
      <c r="B204" s="27" t="inlineStr">
        <is>
          <t>Вероятность p(12000)</t>
        </is>
      </c>
      <c r="C204" s="29" t="inlineStr">
        <is>
          <t>p(12000) = n(12000) / N</t>
        </is>
      </c>
      <c r="D204" s="30">
        <f>E202/D193</f>
        <v/>
      </c>
      <c r="E204" s="19">
        <f>E202/D193</f>
        <v/>
      </c>
      <c r="F204" s="18" t="inlineStr">
        <is>
          <t>—</t>
        </is>
      </c>
    </row>
    <row r="205" ht="20" customHeight="1">
      <c r="B205" s="27" t="inlineStr">
        <is>
          <t>Частота f(11000)</t>
        </is>
      </c>
      <c r="C205" s="29" t="inlineStr">
        <is>
          <t>f = dn / (N · dt)</t>
        </is>
      </c>
      <c r="D205" s="30">
        <f>D197/(D193*D196)</f>
        <v/>
      </c>
      <c r="E205" s="34">
        <f>D197/(D193*D196)</f>
        <v/>
      </c>
      <c r="F205" s="18" t="inlineStr">
        <is>
          <t>1/ч</t>
        </is>
      </c>
    </row>
    <row r="206" ht="20" customHeight="1">
      <c r="B206" s="27" t="inlineStr">
        <is>
          <t>Интенсивность λ(11000)</t>
        </is>
      </c>
      <c r="C206" s="29" t="inlineStr">
        <is>
          <t>λ = dn / (n(11000) · dt)</t>
        </is>
      </c>
      <c r="D206" s="30">
        <f>D197/(E201*D196)</f>
        <v/>
      </c>
      <c r="E206" s="34">
        <f>D197/(E201*D196)</f>
        <v/>
      </c>
      <c r="F206" s="18" t="inlineStr">
        <is>
          <t>1/ч</t>
        </is>
      </c>
    </row>
    <row r="207" ht="20" customHeight="1">
      <c r="B207" s="32" t="inlineStr">
        <is>
          <t>Ответ: p(11000) = 0,5900; p(12000) = 0,5500; f(11000) = 4,00·10⁻⁵ 1/ч; λ(11000) = 6,78·10⁻⁵ 1/ч.</t>
        </is>
      </c>
      <c r="C207" s="33" t="n"/>
      <c r="D207" s="33" t="n"/>
      <c r="E207" s="33" t="n"/>
      <c r="F207" s="33" t="n"/>
    </row>
  </sheetData>
  <mergeCells count="36">
    <mergeCell ref="B4:F4"/>
    <mergeCell ref="B75:F75"/>
    <mergeCell ref="B113:F113"/>
    <mergeCell ref="B60:F61"/>
    <mergeCell ref="B25:F25"/>
    <mergeCell ref="B78:F79"/>
    <mergeCell ref="B3:F3"/>
    <mergeCell ref="B59:F59"/>
    <mergeCell ref="B116:F117"/>
    <mergeCell ref="B134:F134"/>
    <mergeCell ref="B148:D148"/>
    <mergeCell ref="B44:F45"/>
    <mergeCell ref="B115:F115"/>
    <mergeCell ref="B137:F138"/>
    <mergeCell ref="B43:F43"/>
    <mergeCell ref="B77:F77"/>
    <mergeCell ref="B154:F155"/>
    <mergeCell ref="B2:F2"/>
    <mergeCell ref="B95:F96"/>
    <mergeCell ref="B151:F151"/>
    <mergeCell ref="B173:F174"/>
    <mergeCell ref="B188:F188"/>
    <mergeCell ref="B136:F136"/>
    <mergeCell ref="B189:F190"/>
    <mergeCell ref="B170:F170"/>
    <mergeCell ref="B166:C166"/>
    <mergeCell ref="B57:F57"/>
    <mergeCell ref="B172:F172"/>
    <mergeCell ref="B26:F27"/>
    <mergeCell ref="B186:F186"/>
    <mergeCell ref="B92:F92"/>
    <mergeCell ref="B183:C183"/>
    <mergeCell ref="B207:F207"/>
    <mergeCell ref="B94:F94"/>
    <mergeCell ref="B41:F41"/>
    <mergeCell ref="B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2026-09-29T05:35:17Z</dcterms:created>
  <dcterms:modified xmlns:dcterms="http://purl.org/dc/terms/" xmlns:xsi="http://www.w3.org/2001/XMLSchema-instance" xsi:type="dcterms:W3CDTF">2026-09-29T05:35:17Z</dcterms:modified>
</cp:coreProperties>
</file>