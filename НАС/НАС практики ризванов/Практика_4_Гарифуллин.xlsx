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вая ведомость" sheetId="1" state="visible" r:id="rId1"/>
    <sheet xmlns:r="http://schemas.openxmlformats.org/officeDocument/2006/relationships" name="Расчетная часть (№4-14)" sheetId="2" state="visible" r:id="rId2"/>
    <sheet xmlns:r="http://schemas.openxmlformats.org/officeDocument/2006/relationships" name="Справочные формул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E+00"/>
    <numFmt numFmtId="165" formatCode="0.0"/>
    <numFmt numFmtId="166" formatCode="0.00000"/>
    <numFmt numFmtId="167" formatCode="0.0000"/>
    <numFmt numFmtId="168" formatCode="0.00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5E9"/>
      <sz val="10"/>
    </font>
    <font>
      <name val="Calibri"/>
      <color rgb="00C8E6C9"/>
      <sz val="9"/>
    </font>
    <font>
      <name val="Calibri"/>
      <b val="1"/>
      <color rgb="00FFFFFF"/>
      <sz val="9"/>
    </font>
    <font>
      <name val="Calibri"/>
      <i val="1"/>
      <color rgb="0037474F"/>
      <sz val="9"/>
    </font>
    <font>
      <name val="Calibri"/>
      <color rgb="001B2E1B"/>
      <sz val="9"/>
    </font>
    <font>
      <name val="Calibri"/>
      <i val="1"/>
      <color rgb="001E4D2B"/>
      <sz val="9"/>
    </font>
    <font>
      <name val="Calibri"/>
      <b val="1"/>
      <color rgb="001B2E1B"/>
      <sz val="9"/>
    </font>
    <font>
      <name val="Calibri"/>
      <b val="1"/>
      <color rgb="000E3A1A"/>
      <sz val="10"/>
    </font>
    <font>
      <name val="Calibri"/>
      <b val="1"/>
      <color rgb="002E7D32"/>
      <sz val="9"/>
    </font>
  </fonts>
  <fills count="9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2E7D32"/>
        <bgColor rgb="002E7D32"/>
      </patternFill>
    </fill>
    <fill>
      <patternFill patternType="solid">
        <fgColor rgb="00FAFAFA"/>
        <bgColor rgb="00FAFAFA"/>
      </patternFill>
    </fill>
    <fill>
      <patternFill patternType="solid">
        <fgColor rgb="00388E3C"/>
        <bgColor rgb="00388E3C"/>
      </patternFill>
    </fill>
    <fill>
      <patternFill patternType="solid">
        <fgColor rgb="00F4F9F4"/>
        <bgColor rgb="00F4F9F4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81C784"/>
      </left>
      <right style="thin">
        <color rgb="0081C784"/>
      </right>
      <top style="thin">
        <color rgb="0081C784"/>
      </top>
      <bottom style="thin">
        <color rgb="0081C78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0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7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6" fontId="9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right" vertical="center"/>
    </xf>
    <xf numFmtId="2" fontId="9" fillId="6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8" fontId="9" fillId="7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5" fontId="8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6" fontId="9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" fontId="8" fillId="6" borderId="1" applyAlignment="1" pivotButton="0" quotePrefix="0" xfId="0">
      <alignment horizontal="right" vertical="center"/>
    </xf>
    <xf numFmtId="2" fontId="9" fillId="8" borderId="2" applyAlignment="1" pivotButton="0" quotePrefix="0" xfId="0">
      <alignment horizontal="right" vertical="center"/>
    </xf>
    <xf numFmtId="164" fontId="9" fillId="8" borderId="2" applyAlignment="1" pivotButton="0" quotePrefix="0" xfId="0">
      <alignment horizontal="right" vertical="center"/>
    </xf>
    <xf numFmtId="166" fontId="8" fillId="7" borderId="1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168" fontId="9" fillId="8" borderId="2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4" customWidth="1" min="3" max="3"/>
    <col width="18" customWidth="1" min="4" max="4"/>
    <col width="18" customWidth="1" min="5" max="5"/>
    <col width="12" customWidth="1" min="6" max="6"/>
    <col width="16" customWidth="1" min="7" max="7"/>
  </cols>
  <sheetData>
    <row r="2" ht="25" customHeight="1">
      <c r="B2" s="1" t="inlineStr">
        <is>
          <t>ИТОГОВАЯ ВЕДОМОСТЬ РАСЧЕТА НАДЕЖНОСТИ (ПРАКТИКА № 4)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Сводная таблица параметров и контрольных значений по задачам постоянного резервирования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Студент: Гарифуллин Камиль Рамилевич | Группа: ЭАС-414С</t>
        </is>
      </c>
      <c r="C4" s="4" t="n"/>
      <c r="D4" s="4" t="n"/>
      <c r="E4" s="4" t="n"/>
      <c r="F4" s="4" t="n"/>
      <c r="G4" s="4" t="n"/>
    </row>
    <row r="6" ht="20" customHeight="1">
      <c r="B6" s="6" t="inlineStr">
        <is>
          <t>Выполнил студент:</t>
        </is>
      </c>
      <c r="C6" s="7" t="n"/>
      <c r="D6" s="8" t="inlineStr">
        <is>
          <t>Гарифуллин Камиль Рамилевич</t>
        </is>
      </c>
      <c r="E6" s="9" t="n"/>
      <c r="F6" s="9" t="n"/>
      <c r="G6" s="9" t="n"/>
    </row>
    <row r="7" ht="20" customHeight="1">
      <c r="B7" s="6" t="inlineStr">
        <is>
          <t>Группа / Специальность:</t>
        </is>
      </c>
      <c r="C7" s="7" t="n"/>
      <c r="D7" s="10" t="inlineStr">
        <is>
          <t>ЭАС-414С / Электропривод и автоматика</t>
        </is>
      </c>
      <c r="E7" s="9" t="n"/>
      <c r="F7" s="9" t="n"/>
      <c r="G7" s="9" t="n"/>
    </row>
    <row r="8" ht="20" customHeight="1">
      <c r="B8" s="6" t="inlineStr">
        <is>
          <t>Дисциплина:</t>
        </is>
      </c>
      <c r="C8" s="7" t="n"/>
      <c r="D8" s="10" t="inlineStr">
        <is>
          <t>Надежность автоматизированных систем (НАС)</t>
        </is>
      </c>
      <c r="E8" s="9" t="n"/>
      <c r="F8" s="9" t="n"/>
      <c r="G8" s="9" t="n"/>
    </row>
    <row r="9" ht="20" customHeight="1">
      <c r="B9" s="6" t="inlineStr">
        <is>
          <t>Тема работы:</t>
        </is>
      </c>
      <c r="C9" s="7" t="n"/>
      <c r="D9" s="10" t="inlineStr">
        <is>
          <t>Расчет надежности системы с постоянным резервированием (Слайды 19-28)</t>
        </is>
      </c>
      <c r="E9" s="9" t="n"/>
      <c r="F9" s="9" t="n"/>
      <c r="G9" s="9" t="n"/>
    </row>
    <row r="11" ht="23" customHeight="1">
      <c r="B11" s="11" t="inlineStr">
        <is>
          <t>№ Задачи</t>
        </is>
      </c>
      <c r="C11" s="11" t="inlineStr">
        <is>
          <t>Объект исследования</t>
        </is>
      </c>
      <c r="D11" s="11" t="inlineStr">
        <is>
          <t>Определяемый показатель</t>
        </is>
      </c>
      <c r="E11" s="11" t="inlineStr">
        <is>
          <t>Формула связи</t>
        </is>
      </c>
      <c r="F11" s="11" t="inlineStr">
        <is>
          <t>Численный результат</t>
        </is>
      </c>
      <c r="G11" s="11" t="inlineStr">
        <is>
          <t>Ед. изм.</t>
        </is>
      </c>
      <c r="H11" s="12" t="inlineStr">
        <is>
          <t>Оценка</t>
        </is>
      </c>
    </row>
    <row r="12" ht="20" customHeight="1">
      <c r="B12" s="13" t="inlineStr">
        <is>
          <t>№ 4</t>
        </is>
      </c>
      <c r="C12" s="14" t="inlineStr">
        <is>
          <t>Трехблочная система без резерва</t>
        </is>
      </c>
      <c r="D12" s="15" t="inlineStr">
        <is>
          <t>Pc_нр(100)</t>
        </is>
      </c>
      <c r="E12" s="16">
        <f>'Расчетная часть (№4-14)'!E14</f>
        <v/>
      </c>
      <c r="F12" s="17" t="inlineStr">
        <is>
          <t>—</t>
        </is>
      </c>
      <c r="G12" s="18" t="inlineStr">
        <is>
          <t>Соответствует</t>
        </is>
      </c>
    </row>
    <row r="13" ht="20" customHeight="1">
      <c r="B13" s="19" t="inlineStr">
        <is>
          <t>№ 4</t>
        </is>
      </c>
      <c r="C13" s="10" t="inlineStr">
        <is>
          <t>Трехблочная система с дублированием</t>
        </is>
      </c>
      <c r="D13" s="20" t="inlineStr">
        <is>
          <t>Pc_дубл(100)</t>
        </is>
      </c>
      <c r="E13" s="21">
        <f>'Расчетная часть (№4-14)'!E15</f>
        <v/>
      </c>
      <c r="F13" s="22" t="inlineStr">
        <is>
          <t>—</t>
        </is>
      </c>
      <c r="G13" s="23" t="inlineStr">
        <is>
          <t>Соответствует</t>
        </is>
      </c>
    </row>
    <row r="14" ht="20" customHeight="1">
      <c r="B14" s="13" t="inlineStr">
        <is>
          <t>№ 5</t>
        </is>
      </c>
      <c r="C14" s="14" t="inlineStr">
        <is>
          <t>Сложная система 4.3 (надежность)</t>
        </is>
      </c>
      <c r="D14" s="15" t="inlineStr">
        <is>
          <t>Pc(100)</t>
        </is>
      </c>
      <c r="E14" s="16">
        <f>'Расчетная часть (№4-14)'!E26</f>
        <v/>
      </c>
      <c r="F14" s="17" t="inlineStr">
        <is>
          <t>—</t>
        </is>
      </c>
      <c r="G14" s="18" t="inlineStr">
        <is>
          <t>Соответствует</t>
        </is>
      </c>
    </row>
    <row r="15" ht="20" customHeight="1">
      <c r="B15" s="19" t="inlineStr">
        <is>
          <t>№ 5</t>
        </is>
      </c>
      <c r="C15" s="10" t="inlineStr">
        <is>
          <t>Сложная система 4.3 (наработка)</t>
        </is>
      </c>
      <c r="D15" s="20" t="inlineStr">
        <is>
          <t>mtc</t>
        </is>
      </c>
      <c r="E15" s="24">
        <f>'Расчетная часть (№4-14)'!E27</f>
        <v/>
      </c>
      <c r="F15" s="22" t="inlineStr">
        <is>
          <t>ч</t>
        </is>
      </c>
      <c r="G15" s="23" t="inlineStr">
        <is>
          <t>Соответствует</t>
        </is>
      </c>
    </row>
    <row r="16" ht="20" customHeight="1">
      <c r="B16" s="13" t="inlineStr">
        <is>
          <t>№ 6</t>
        </is>
      </c>
      <c r="C16" s="14" t="inlineStr">
        <is>
          <t>Радиопередатчик с дублированием (наработка)</t>
        </is>
      </c>
      <c r="D16" s="15" t="inlineStr">
        <is>
          <t>mtc</t>
        </is>
      </c>
      <c r="E16" s="25">
        <f>'Расчетная часть (№4-14)'!E40</f>
        <v/>
      </c>
      <c r="F16" s="17" t="inlineStr">
        <is>
          <t>ч</t>
        </is>
      </c>
      <c r="G16" s="18" t="inlineStr">
        <is>
          <t>Соответствует</t>
        </is>
      </c>
    </row>
    <row r="17" ht="20" customHeight="1">
      <c r="B17" s="19" t="inlineStr">
        <is>
          <t>№ 6</t>
        </is>
      </c>
      <c r="C17" s="10" t="inlineStr">
        <is>
          <t>Радиопередатчик с дублированием (надежность)</t>
        </is>
      </c>
      <c r="D17" s="20" t="inlineStr">
        <is>
          <t>Pc(100)</t>
        </is>
      </c>
      <c r="E17" s="21">
        <f>'Расчетная часть (№4-14)'!E41</f>
        <v/>
      </c>
      <c r="F17" s="22" t="inlineStr">
        <is>
          <t>—</t>
        </is>
      </c>
      <c r="G17" s="23" t="inlineStr">
        <is>
          <t>Соответствует</t>
        </is>
      </c>
    </row>
    <row r="18" ht="20" customHeight="1">
      <c r="B18" s="13" t="inlineStr">
        <is>
          <t>№ 7</t>
        </is>
      </c>
      <c r="C18" s="14" t="inlineStr">
        <is>
          <t>Дублированная цепь 4.4 (наработка mtc)</t>
        </is>
      </c>
      <c r="D18" s="15" t="inlineStr">
        <is>
          <t>mtc</t>
        </is>
      </c>
      <c r="E18" s="25">
        <f>'Расчетная часть (№4-14)'!E54</f>
        <v/>
      </c>
      <c r="F18" s="17" t="inlineStr">
        <is>
          <t>ч</t>
        </is>
      </c>
      <c r="G18" s="18" t="inlineStr">
        <is>
          <t>Соответствует</t>
        </is>
      </c>
    </row>
    <row r="19" ht="20" customHeight="1">
      <c r="B19" s="19" t="inlineStr">
        <is>
          <t>№ 7</t>
        </is>
      </c>
      <c r="C19" s="10" t="inlineStr">
        <is>
          <t>Дублированная цепь 4.4 (интенсивность λc)</t>
        </is>
      </c>
      <c r="D19" s="20" t="inlineStr">
        <is>
          <t>λc(100)</t>
        </is>
      </c>
      <c r="E19" s="26">
        <f>'Расчетная часть (№4-14)'!E55</f>
        <v/>
      </c>
      <c r="F19" s="22" t="inlineStr">
        <is>
          <t>1/ч</t>
        </is>
      </c>
      <c r="G19" s="23" t="inlineStr">
        <is>
          <t>Соответствует</t>
        </is>
      </c>
    </row>
    <row r="20" ht="20" customHeight="1">
      <c r="B20" s="13" t="inlineStr">
        <is>
          <t>№ 8</t>
        </is>
      </c>
      <c r="C20" s="14" t="inlineStr">
        <is>
          <t>Трехблочная цепь без резерва</t>
        </is>
      </c>
      <c r="D20" s="15" t="inlineStr">
        <is>
          <t>Pc_нр(100)</t>
        </is>
      </c>
      <c r="E20" s="16">
        <f>'Расчетная часть (№4-14)'!E67</f>
        <v/>
      </c>
      <c r="F20" s="17" t="inlineStr">
        <is>
          <t>—</t>
        </is>
      </c>
      <c r="G20" s="18" t="inlineStr">
        <is>
          <t>Соответствует</t>
        </is>
      </c>
    </row>
    <row r="21" ht="20" customHeight="1">
      <c r="B21" s="19" t="inlineStr">
        <is>
          <t>№ 8</t>
        </is>
      </c>
      <c r="C21" s="10" t="inlineStr">
        <is>
          <t>Трехблочная цепь с дублированием</t>
        </is>
      </c>
      <c r="D21" s="20" t="inlineStr">
        <is>
          <t>Pc_дубл(100)</t>
        </is>
      </c>
      <c r="E21" s="21">
        <f>'Расчетная часть (№4-14)'!E68</f>
        <v/>
      </c>
      <c r="F21" s="22" t="inlineStr">
        <is>
          <t>—</t>
        </is>
      </c>
      <c r="G21" s="23" t="inlineStr">
        <is>
          <t>Соответствует</t>
        </is>
      </c>
    </row>
    <row r="22" ht="20" customHeight="1">
      <c r="B22" s="13" t="inlineStr">
        <is>
          <t>№ 9</t>
        </is>
      </c>
      <c r="C22" s="14" t="inlineStr">
        <is>
          <t>Тройное резервирование 4.5 (надежность)</t>
        </is>
      </c>
      <c r="D22" s="15" t="inlineStr">
        <is>
          <t>Pc(100)</t>
        </is>
      </c>
      <c r="E22" s="16">
        <f>'Расчетная часть (№4-14)'!E81</f>
        <v/>
      </c>
      <c r="F22" s="17" t="inlineStr">
        <is>
          <t>—</t>
        </is>
      </c>
      <c r="G22" s="18" t="inlineStr">
        <is>
          <t>Соответствует</t>
        </is>
      </c>
    </row>
    <row r="23" ht="20" customHeight="1">
      <c r="B23" s="19" t="inlineStr">
        <is>
          <t>№ 9</t>
        </is>
      </c>
      <c r="C23" s="10" t="inlineStr">
        <is>
          <t>Тройное резервирование 4.5 (наработка)</t>
        </is>
      </c>
      <c r="D23" s="20" t="inlineStr">
        <is>
          <t>mtc</t>
        </is>
      </c>
      <c r="E23" s="24">
        <f>'Расчетная часть (№4-14)'!E82</f>
        <v/>
      </c>
      <c r="F23" s="22" t="inlineStr">
        <is>
          <t>ч</t>
        </is>
      </c>
      <c r="G23" s="23" t="inlineStr">
        <is>
          <t>Соответствует</t>
        </is>
      </c>
    </row>
    <row r="24" ht="20" customHeight="1">
      <c r="B24" s="13" t="inlineStr">
        <is>
          <t>№ 9</t>
        </is>
      </c>
      <c r="C24" s="14" t="inlineStr">
        <is>
          <t>Тройное резервирование 4.5 (интенсивность)</t>
        </is>
      </c>
      <c r="D24" s="15" t="inlineStr">
        <is>
          <t>λc(100)</t>
        </is>
      </c>
      <c r="E24" s="27">
        <f>'Расчетная часть (№4-14)'!E84</f>
        <v/>
      </c>
      <c r="F24" s="17" t="inlineStr">
        <is>
          <t>1/ч</t>
        </is>
      </c>
      <c r="G24" s="18" t="inlineStr">
        <is>
          <t>Соответствует</t>
        </is>
      </c>
    </row>
    <row r="25" ht="20" customHeight="1">
      <c r="B25" s="19" t="inlineStr">
        <is>
          <t>№ 10</t>
        </is>
      </c>
      <c r="C25" s="10" t="inlineStr">
        <is>
          <t>Телевизионный канал (средняя наработка)</t>
        </is>
      </c>
      <c r="D25" s="20" t="inlineStr">
        <is>
          <t>mtc</t>
        </is>
      </c>
      <c r="E25" s="24">
        <f>'Расчетная часть (№4-14)'!E95</f>
        <v/>
      </c>
      <c r="F25" s="22" t="inlineStr">
        <is>
          <t>ч</t>
        </is>
      </c>
      <c r="G25" s="23" t="inlineStr">
        <is>
          <t>Соответствует</t>
        </is>
      </c>
    </row>
    <row r="26" ht="20" customHeight="1">
      <c r="B26" s="13" t="inlineStr">
        <is>
          <t>№ 10</t>
        </is>
      </c>
      <c r="C26" s="14" t="inlineStr">
        <is>
          <t>Телевизионный канал (надежность t=50 ч)</t>
        </is>
      </c>
      <c r="D26" s="15" t="inlineStr">
        <is>
          <t>Pc(50)</t>
        </is>
      </c>
      <c r="E26" s="16">
        <f>'Расчетная часть (№4-14)'!E96</f>
        <v/>
      </c>
      <c r="F26" s="17" t="inlineStr">
        <is>
          <t>—</t>
        </is>
      </c>
      <c r="G26" s="18" t="inlineStr">
        <is>
          <t>Соответствует</t>
        </is>
      </c>
    </row>
    <row r="27" ht="20" customHeight="1">
      <c r="B27" s="19" t="inlineStr">
        <is>
          <t>№ 11</t>
        </is>
      </c>
      <c r="C27" s="10" t="inlineStr">
        <is>
          <t>Дублированная цепь двух блоков (интенсивность)</t>
        </is>
      </c>
      <c r="D27" s="20" t="inlineStr">
        <is>
          <t>λc(50)</t>
        </is>
      </c>
      <c r="E27" s="26">
        <f>'Расчетная часть (№4-14)'!E109</f>
        <v/>
      </c>
      <c r="F27" s="22" t="inlineStr">
        <is>
          <t>1/ч</t>
        </is>
      </c>
      <c r="G27" s="23" t="inlineStr">
        <is>
          <t>Соответствует</t>
        </is>
      </c>
    </row>
    <row r="28" ht="20" customHeight="1">
      <c r="B28" s="13" t="inlineStr">
        <is>
          <t>№ 12</t>
        </is>
      </c>
      <c r="C28" s="14" t="inlineStr">
        <is>
          <t>Система 4000 элементов (λдоп без резерва)</t>
        </is>
      </c>
      <c r="D28" s="15" t="inlineStr">
        <is>
          <t>λдоп_а</t>
        </is>
      </c>
      <c r="E28" s="27">
        <f>'Расчетная часть (№4-14)'!E120</f>
        <v/>
      </c>
      <c r="F28" s="17" t="inlineStr">
        <is>
          <t>1/ч</t>
        </is>
      </c>
      <c r="G28" s="18" t="inlineStr">
        <is>
          <t>Соответствует</t>
        </is>
      </c>
    </row>
    <row r="29" ht="20" customHeight="1">
      <c r="B29" s="19" t="inlineStr">
        <is>
          <t>№ 12</t>
        </is>
      </c>
      <c r="C29" s="10" t="inlineStr">
        <is>
          <t>Система 4000 элементов (λдоп с дублированием)</t>
        </is>
      </c>
      <c r="D29" s="20" t="inlineStr">
        <is>
          <t>λдоп_б</t>
        </is>
      </c>
      <c r="E29" s="26">
        <f>'Расчетная часть (№4-14)'!E122</f>
        <v/>
      </c>
      <c r="F29" s="22" t="inlineStr">
        <is>
          <t>1/ч</t>
        </is>
      </c>
      <c r="G29" s="23" t="inlineStr">
        <is>
          <t>Соответствует</t>
        </is>
      </c>
    </row>
    <row r="30" ht="20" customHeight="1">
      <c r="B30" s="13" t="inlineStr">
        <is>
          <t>№ 13</t>
        </is>
      </c>
      <c r="C30" s="14" t="inlineStr">
        <is>
          <t>Требуемая надежность блока: без резерва</t>
        </is>
      </c>
      <c r="D30" s="15" t="inlineStr">
        <is>
          <t>Pбл_а</t>
        </is>
      </c>
      <c r="E30" s="16">
        <f>'Расчетная часть (№4-14)'!E132</f>
        <v/>
      </c>
      <c r="F30" s="17" t="inlineStr">
        <is>
          <t>—</t>
        </is>
      </c>
      <c r="G30" s="18" t="inlineStr">
        <is>
          <t>Соответствует</t>
        </is>
      </c>
    </row>
    <row r="31" ht="20" customHeight="1">
      <c r="B31" s="19" t="inlineStr">
        <is>
          <t>№ 13</t>
        </is>
      </c>
      <c r="C31" s="10" t="inlineStr">
        <is>
          <t>Требуемая надежность блока: общее дублирование</t>
        </is>
      </c>
      <c r="D31" s="20" t="inlineStr">
        <is>
          <t>Pбл_б</t>
        </is>
      </c>
      <c r="E31" s="21">
        <f>'Расчетная часть (№4-14)'!E134</f>
        <v/>
      </c>
      <c r="F31" s="22" t="inlineStr">
        <is>
          <t>—</t>
        </is>
      </c>
      <c r="G31" s="23" t="inlineStr">
        <is>
          <t>Соответствует</t>
        </is>
      </c>
    </row>
    <row r="32" ht="20" customHeight="1">
      <c r="B32" s="13" t="inlineStr">
        <is>
          <t>№ 13</t>
        </is>
      </c>
      <c r="C32" s="14" t="inlineStr">
        <is>
          <t>Требуемая надежность блока: раздельное дублирование</t>
        </is>
      </c>
      <c r="D32" s="15" t="inlineStr">
        <is>
          <t>Pбл_в</t>
        </is>
      </c>
      <c r="E32" s="16">
        <f>'Расчетная часть (№4-14)'!E136</f>
        <v/>
      </c>
      <c r="F32" s="17" t="inlineStr">
        <is>
          <t>—</t>
        </is>
      </c>
      <c r="G32" s="18" t="inlineStr">
        <is>
          <t>Соответствует</t>
        </is>
      </c>
    </row>
    <row r="33" ht="20" customHeight="1">
      <c r="B33" s="19" t="inlineStr">
        <is>
          <t>№ 14</t>
        </is>
      </c>
      <c r="C33" s="10" t="inlineStr">
        <is>
          <t>Двухблочный вычислитель (надежность t=20 ч)</t>
        </is>
      </c>
      <c r="D33" s="20" t="inlineStr">
        <is>
          <t>Pc(20)</t>
        </is>
      </c>
      <c r="E33" s="28">
        <f>'Расчетная часть (№4-14)'!E148</f>
        <v/>
      </c>
      <c r="F33" s="22" t="inlineStr">
        <is>
          <t>—</t>
        </is>
      </c>
      <c r="G33" s="23" t="inlineStr">
        <is>
          <t>Соответствует</t>
        </is>
      </c>
    </row>
    <row r="34" ht="20" customHeight="1">
      <c r="B34" s="13" t="inlineStr">
        <is>
          <t>№ 14</t>
        </is>
      </c>
      <c r="C34" s="14" t="inlineStr">
        <is>
          <t>Двухблочный вычислитель (наработка mtc)</t>
        </is>
      </c>
      <c r="D34" s="15" t="inlineStr">
        <is>
          <t>mtc</t>
        </is>
      </c>
      <c r="E34" s="25">
        <f>'Расчетная часть (№4-14)'!E147</f>
        <v/>
      </c>
      <c r="F34" s="17" t="inlineStr">
        <is>
          <t>ч</t>
        </is>
      </c>
      <c r="G34" s="18" t="inlineStr">
        <is>
          <t>Соответствует</t>
        </is>
      </c>
    </row>
  </sheetData>
  <mergeCells count="11">
    <mergeCell ref="B3:G3"/>
    <mergeCell ref="B2:G2"/>
    <mergeCell ref="B6:C6"/>
    <mergeCell ref="D9:G9"/>
    <mergeCell ref="B7:C7"/>
    <mergeCell ref="D8:G8"/>
    <mergeCell ref="D6:G6"/>
    <mergeCell ref="D7:G7"/>
    <mergeCell ref="B4:G4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8" customWidth="1" min="4" max="4"/>
    <col width="18" customWidth="1" min="5" max="5"/>
    <col width="12" customWidth="1" min="6" max="6"/>
    <col width="42" customWidth="1" min="7" max="7"/>
  </cols>
  <sheetData>
    <row r="2" ht="25" customHeight="1">
      <c r="B2" s="1" t="inlineStr">
        <is>
          <t>ИНЖЕНЕРНЫЙ РАСЧЕТ НАДЕЖНОСТИ РЕЗЕРВИРОВАННЫХ СИСТЕМ (№ 4 – 14)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Практическая работа № 4. Вариант Гарифуллина К.Р. (группа ЭАС-414С)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Математическое моделирование систем с постоянным резервированием в среде MS Excel</t>
        </is>
      </c>
      <c r="C4" s="4" t="n"/>
      <c r="D4" s="4" t="n"/>
      <c r="E4" s="4" t="n"/>
      <c r="F4" s="4" t="n"/>
      <c r="G4" s="4" t="n"/>
    </row>
    <row r="6" ht="21" customHeight="1">
      <c r="B6" s="29" t="inlineStr">
        <is>
          <t>ЗАДАЧА № 4. СИСТЕМА ИЗ ТРЕХ БЛОКОВ С ОБЩИМ ДУБЛИРОВАНИЕМ</t>
        </is>
      </c>
      <c r="C6" s="4" t="n"/>
      <c r="D6" s="4" t="n"/>
      <c r="E6" s="4" t="n"/>
      <c r="F6" s="4" t="n"/>
      <c r="G6" s="4" t="n"/>
    </row>
    <row r="7" ht="34" customHeight="1">
      <c r="B7" s="30" t="inlineStr">
        <is>
          <t>Постановка задачи: Технологическая система из 3 блоков (λ1=4*10^-4, λ2=2.5*10^-4, λ3=3*10^-4 1/ч). Расчет Pc при t=100 ч без резерва и с общим дублированием.</t>
        </is>
      </c>
      <c r="C7" s="31" t="n"/>
      <c r="D7" s="31" t="n"/>
      <c r="E7" s="31" t="n"/>
      <c r="F7" s="31" t="n"/>
      <c r="G7" s="31" t="n"/>
    </row>
    <row r="8" ht="20" customHeight="1">
      <c r="B8" s="32" t="inlineStr">
        <is>
          <t>Показатель / Этап расчета</t>
        </is>
      </c>
      <c r="C8" s="32" t="inlineStr">
        <is>
          <t>Символ</t>
        </is>
      </c>
      <c r="D8" s="32" t="inlineStr">
        <is>
          <t>Математическая модель</t>
        </is>
      </c>
      <c r="E8" s="32" t="inlineStr">
        <is>
          <t>Численное значение</t>
        </is>
      </c>
      <c r="F8" s="32" t="inlineStr">
        <is>
          <t>Ед.</t>
        </is>
      </c>
      <c r="G8" s="32" t="inlineStr">
        <is>
          <t>Характеристика параметра</t>
        </is>
      </c>
    </row>
    <row r="9" ht="19" customHeight="1">
      <c r="B9" s="14" t="inlineStr">
        <is>
          <t>Интенсивность отказа блока 1</t>
        </is>
      </c>
      <c r="C9" s="15" t="inlineStr">
        <is>
          <t>λ1</t>
        </is>
      </c>
      <c r="D9" s="15" t="inlineStr">
        <is>
          <t>Исходные данные</t>
        </is>
      </c>
      <c r="E9" s="33" t="n">
        <v>0.0004</v>
      </c>
      <c r="F9" s="17" t="inlineStr">
        <is>
          <t>1/ч</t>
        </is>
      </c>
      <c r="G9" s="34" t="inlineStr">
        <is>
          <t>Блок 1 (4.0*10^-4)</t>
        </is>
      </c>
    </row>
    <row r="10" ht="19" customHeight="1">
      <c r="B10" s="14" t="inlineStr">
        <is>
          <t>Интенсивность отказа блока 2</t>
        </is>
      </c>
      <c r="C10" s="15" t="inlineStr">
        <is>
          <t>λ2</t>
        </is>
      </c>
      <c r="D10" s="15" t="inlineStr">
        <is>
          <t>Исходные данные</t>
        </is>
      </c>
      <c r="E10" s="33" t="n">
        <v>0.00025</v>
      </c>
      <c r="F10" s="17" t="inlineStr">
        <is>
          <t>1/ч</t>
        </is>
      </c>
      <c r="G10" s="34" t="inlineStr">
        <is>
          <t>Блок 2 (2.5*10^-4)</t>
        </is>
      </c>
    </row>
    <row r="11" ht="19" customHeight="1">
      <c r="B11" s="14" t="inlineStr">
        <is>
          <t>Интенсивность отказа блока 3</t>
        </is>
      </c>
      <c r="C11" s="15" t="inlineStr">
        <is>
          <t>λ3</t>
        </is>
      </c>
      <c r="D11" s="15" t="inlineStr">
        <is>
          <t>Исходные данные</t>
        </is>
      </c>
      <c r="E11" s="33" t="n">
        <v>0.0003</v>
      </c>
      <c r="F11" s="17" t="inlineStr">
        <is>
          <t>1/ч</t>
        </is>
      </c>
      <c r="G11" s="34" t="inlineStr">
        <is>
          <t>Блок 3 (3.0*10^-4)</t>
        </is>
      </c>
    </row>
    <row r="12" ht="19" customHeight="1">
      <c r="B12" s="14" t="inlineStr">
        <is>
          <t>Время непрерывной работы</t>
        </is>
      </c>
      <c r="C12" s="15" t="inlineStr">
        <is>
          <t>t</t>
        </is>
      </c>
      <c r="D12" s="15" t="inlineStr">
        <is>
          <t>Исходные данные</t>
        </is>
      </c>
      <c r="E12" s="35" t="n">
        <v>100</v>
      </c>
      <c r="F12" s="17" t="inlineStr">
        <is>
          <t>ч</t>
        </is>
      </c>
      <c r="G12" s="34" t="inlineStr">
        <is>
          <t>Контрольный период</t>
        </is>
      </c>
    </row>
    <row r="13" ht="20" customHeight="1">
      <c r="B13" s="10" t="inlineStr">
        <is>
          <t>Интенсивность основной цепи</t>
        </is>
      </c>
      <c r="C13" s="20" t="inlineStr">
        <is>
          <t>λ0</t>
        </is>
      </c>
      <c r="D13" s="36" t="inlineStr">
        <is>
          <t>λ1 + λ2 + λ3</t>
        </is>
      </c>
      <c r="E13" s="37">
        <f>E9+E10+E11</f>
        <v/>
      </c>
      <c r="F13" s="22" t="inlineStr">
        <is>
          <t>1/ч</t>
        </is>
      </c>
      <c r="G13" s="38" t="inlineStr">
        <is>
          <t>Суммарная интенсивность цепи</t>
        </is>
      </c>
    </row>
    <row r="14" ht="20" customHeight="1">
      <c r="B14" s="39" t="inlineStr">
        <is>
          <t>а) Надежность без резервирования</t>
        </is>
      </c>
      <c r="C14" s="40" t="inlineStr">
        <is>
          <t>Pc_нр</t>
        </is>
      </c>
      <c r="D14" s="41" t="inlineStr">
        <is>
          <t>EXP(-λ0 * t)</t>
        </is>
      </c>
      <c r="E14" s="42">
        <f>EXP(-E13*E12)</f>
        <v/>
      </c>
      <c r="F14" s="43" t="inlineStr">
        <is>
          <t>—</t>
        </is>
      </c>
      <c r="G14" s="44" t="inlineStr">
        <is>
          <t>Pc(100) = e^-0.095 ≈ 0.90938</t>
        </is>
      </c>
    </row>
    <row r="15" ht="20" customHeight="1">
      <c r="B15" s="39" t="inlineStr">
        <is>
          <t>б) Надежность с общим дублированием</t>
        </is>
      </c>
      <c r="C15" s="40" t="inlineStr">
        <is>
          <t>Pc_дубл</t>
        </is>
      </c>
      <c r="D15" s="41" t="inlineStr">
        <is>
          <t>1 - (1 - EXP(-λ0*t))^2</t>
        </is>
      </c>
      <c r="E15" s="42">
        <f>1-(1-EXP(-E13*E12))^2</f>
        <v/>
      </c>
      <c r="F15" s="43" t="inlineStr">
        <is>
          <t>—</t>
        </is>
      </c>
      <c r="G15" s="44" t="inlineStr">
        <is>
          <t>Pc(100) = 2e^-λ0t - e^-2λ0t</t>
        </is>
      </c>
    </row>
    <row r="16" ht="22" customHeight="1">
      <c r="B16" s="45" t="inlineStr">
        <is>
          <t>Инженерное заключение: Общее дублирование повышает надежность с 90.94% до 99.18%, снижая вероятность отказа почти в 11 раз.</t>
        </is>
      </c>
      <c r="C16" s="46" t="n"/>
      <c r="D16" s="46" t="n"/>
      <c r="E16" s="46" t="n"/>
      <c r="F16" s="46" t="n"/>
      <c r="G16" s="46" t="n"/>
    </row>
    <row r="19" ht="21" customHeight="1">
      <c r="B19" s="29" t="inlineStr">
        <is>
          <t>ЗАДАЧА № 5. АНАЛИЗ СЛОЖНОЙ СТРУКТУРЫ С РЕЗЕРВИРОВАНИЕМ (РИС. 4.3)</t>
        </is>
      </c>
      <c r="C19" s="4" t="n"/>
      <c r="D19" s="4" t="n"/>
      <c r="E19" s="4" t="n"/>
      <c r="F19" s="4" t="n"/>
      <c r="G19" s="4" t="n"/>
    </row>
    <row r="20" ht="34" customHeight="1">
      <c r="B20" s="30" t="inlineStr">
        <is>
          <t>Постановка задачи: Логическая схема 4.3: часть I (две ветви по 4 блока λ) соединена последовательно с частью II (1 блок λ). Найти Pc(t), mtc, fc(t), λc(t).</t>
        </is>
      </c>
      <c r="C20" s="31" t="n"/>
      <c r="D20" s="31" t="n"/>
      <c r="E20" s="31" t="n"/>
      <c r="F20" s="31" t="n"/>
      <c r="G20" s="31" t="n"/>
    </row>
    <row r="21" ht="20" customHeight="1">
      <c r="B21" s="32" t="inlineStr">
        <is>
          <t>Показатель / Этап расчета</t>
        </is>
      </c>
      <c r="C21" s="32" t="inlineStr">
        <is>
          <t>Символ</t>
        </is>
      </c>
      <c r="D21" s="32" t="inlineStr">
        <is>
          <t>Математическая модель</t>
        </is>
      </c>
      <c r="E21" s="32" t="inlineStr">
        <is>
          <t>Численное значение</t>
        </is>
      </c>
      <c r="F21" s="32" t="inlineStr">
        <is>
          <t>Ед.</t>
        </is>
      </c>
      <c r="G21" s="32" t="inlineStr">
        <is>
          <t>Характеристика параметра</t>
        </is>
      </c>
    </row>
    <row r="22" ht="19" customHeight="1">
      <c r="B22" s="14" t="inlineStr">
        <is>
          <t>Блоков в параллельной цепи</t>
        </is>
      </c>
      <c r="C22" s="15" t="inlineStr">
        <is>
          <t>n1</t>
        </is>
      </c>
      <c r="D22" s="15" t="inlineStr">
        <is>
          <t>Схема 4.3</t>
        </is>
      </c>
      <c r="E22" s="47" t="n">
        <v>4</v>
      </c>
      <c r="F22" s="17" t="inlineStr">
        <is>
          <t>шт.</t>
        </is>
      </c>
      <c r="G22" s="34" t="inlineStr">
        <is>
          <t>Последовательно в ветви</t>
        </is>
      </c>
    </row>
    <row r="23" ht="19" customHeight="1">
      <c r="B23" s="14" t="inlineStr">
        <is>
          <t>Базовая интенсивность блока</t>
        </is>
      </c>
      <c r="C23" s="15" t="inlineStr">
        <is>
          <t>λ</t>
        </is>
      </c>
      <c r="D23" s="15" t="inlineStr">
        <is>
          <t>Принято</t>
        </is>
      </c>
      <c r="E23" s="33" t="n">
        <v>0.0001</v>
      </c>
      <c r="F23" s="17" t="inlineStr">
        <is>
          <t>1/ч</t>
        </is>
      </c>
      <c r="G23" s="34" t="inlineStr">
        <is>
          <t>λ = 1.0*10^-4 1/ч</t>
        </is>
      </c>
    </row>
    <row r="24" ht="19" customHeight="1">
      <c r="B24" s="14" t="inlineStr">
        <is>
          <t>Период наработки</t>
        </is>
      </c>
      <c r="C24" s="15" t="inlineStr">
        <is>
          <t>t</t>
        </is>
      </c>
      <c r="D24" s="15" t="inlineStr">
        <is>
          <t>Принято</t>
        </is>
      </c>
      <c r="E24" s="35" t="n">
        <v>100</v>
      </c>
      <c r="F24" s="17" t="inlineStr">
        <is>
          <t>ч</t>
        </is>
      </c>
      <c r="G24" s="34" t="inlineStr">
        <is>
          <t>Контрольная наработка</t>
        </is>
      </c>
    </row>
    <row r="25" ht="20" customHeight="1">
      <c r="B25" s="10" t="inlineStr">
        <is>
          <t>Интенсивность параллельной ветви</t>
        </is>
      </c>
      <c r="C25" s="20" t="inlineStr">
        <is>
          <t>λ_ветвь</t>
        </is>
      </c>
      <c r="D25" s="36" t="inlineStr">
        <is>
          <t>4 * λ</t>
        </is>
      </c>
      <c r="E25" s="37">
        <f>4*E23</f>
        <v/>
      </c>
      <c r="F25" s="22" t="inlineStr">
        <is>
          <t>1/ч</t>
        </is>
      </c>
      <c r="G25" s="38" t="inlineStr">
        <is>
          <t>Интенсивность одной цепи 4λ</t>
        </is>
      </c>
    </row>
    <row r="26" ht="20" customHeight="1">
      <c r="B26" s="39" t="inlineStr">
        <is>
          <t>Вероятность системы Pc(t)</t>
        </is>
      </c>
      <c r="C26" s="40" t="inlineStr">
        <is>
          <t>Pc(t)</t>
        </is>
      </c>
      <c r="D26" s="41" t="inlineStr">
        <is>
          <t>2*EXP(-5*λ*t) - EXP(-9*λ*t)</t>
        </is>
      </c>
      <c r="E26" s="42">
        <f>2*EXP(-5*E23*E24)-EXP(-9*E23*E24)</f>
        <v/>
      </c>
      <c r="F26" s="43" t="inlineStr">
        <is>
          <t>—</t>
        </is>
      </c>
      <c r="G26" s="44" t="inlineStr">
        <is>
          <t>Pc(t) = 2e^-5λt - e^-9λt</t>
        </is>
      </c>
    </row>
    <row r="27" ht="20" customHeight="1">
      <c r="B27" s="39" t="inlineStr">
        <is>
          <t>Средняя наработка системы mtc</t>
        </is>
      </c>
      <c r="C27" s="40" t="inlineStr">
        <is>
          <t>mtc</t>
        </is>
      </c>
      <c r="D27" s="41" t="inlineStr">
        <is>
          <t>13 / (45 * λ)</t>
        </is>
      </c>
      <c r="E27" s="48">
        <f>13/(45*E23)</f>
        <v/>
      </c>
      <c r="F27" s="43" t="inlineStr">
        <is>
          <t>ч</t>
        </is>
      </c>
      <c r="G27" s="44" t="inlineStr">
        <is>
          <t>mtc = 13/(45λ) = 2888.89 ч</t>
        </is>
      </c>
    </row>
    <row r="28" ht="20" customHeight="1">
      <c r="B28" s="39" t="inlineStr">
        <is>
          <t>Частота отказов системы fc(t)</t>
        </is>
      </c>
      <c r="C28" s="40" t="inlineStr">
        <is>
          <t>fc(t)</t>
        </is>
      </c>
      <c r="D28" s="41" t="inlineStr">
        <is>
          <t>10*λ*EXP(-5*λ*t) - 9*λ*EXP(-9*λ*t)</t>
        </is>
      </c>
      <c r="E28" s="49">
        <f>10*E23*EXP(-5*E23*E24)-9*E23*EXP(-9*E23*E24)</f>
        <v/>
      </c>
      <c r="F28" s="43" t="inlineStr">
        <is>
          <t>1/ч</t>
        </is>
      </c>
      <c r="G28" s="44" t="inlineStr">
        <is>
          <t>fc(t) = -dPc/dt</t>
        </is>
      </c>
    </row>
    <row r="29" ht="20" customHeight="1">
      <c r="B29" s="39" t="inlineStr">
        <is>
          <t>Интенсивность отказов системы λc(t)</t>
        </is>
      </c>
      <c r="C29" s="40" t="inlineStr">
        <is>
          <t>λc(t)</t>
        </is>
      </c>
      <c r="D29" s="41" t="inlineStr">
        <is>
          <t>fc(t) / Pc(t)</t>
        </is>
      </c>
      <c r="E29" s="49">
        <f>E28/E26</f>
        <v/>
      </c>
      <c r="F29" s="43" t="inlineStr">
        <is>
          <t>1/ч</t>
        </is>
      </c>
      <c r="G29" s="44" t="inlineStr">
        <is>
          <t>λc(t) = λ(10-9e^-4λt)/(2-e^-4λt)</t>
        </is>
      </c>
    </row>
    <row r="30" ht="22" customHeight="1">
      <c r="B30" s="45" t="inlineStr">
        <is>
          <t>Инженерное заключение: Аналитические модели: Pc(t) = 2e^-5λt - e^-9λt, mtc = 13/(45λ), fc(t) = 10λe^-5λt - 9λe^-9λt.</t>
        </is>
      </c>
      <c r="C30" s="46" t="n"/>
      <c r="D30" s="46" t="n"/>
      <c r="E30" s="46" t="n"/>
      <c r="F30" s="46" t="n"/>
      <c r="G30" s="46" t="n"/>
    </row>
    <row r="33" ht="21" customHeight="1">
      <c r="B33" s="29" t="inlineStr">
        <is>
          <t>ЗАДАЧА № 6. ОБЩЕЕ ПОСТОЯННОЕ ДУБЛИРОВАНИЕ РАДИОПЕРЕДАТЧИКА</t>
        </is>
      </c>
      <c r="C33" s="4" t="n"/>
      <c r="D33" s="4" t="n"/>
      <c r="E33" s="4" t="n"/>
      <c r="F33" s="4" t="n"/>
      <c r="G33" s="4" t="n"/>
    </row>
    <row r="34" ht="20" customHeight="1">
      <c r="B34" s="30" t="inlineStr">
        <is>
          <t>Постановка задачи: Радиопередатчик из 3 каскадов (λ=5*10^-4 1/ч), общее дублирование. Найти Pc(t), mtc, fc(t), λc(t).</t>
        </is>
      </c>
      <c r="C34" s="31" t="n"/>
      <c r="D34" s="31" t="n"/>
      <c r="E34" s="31" t="n"/>
      <c r="F34" s="31" t="n"/>
      <c r="G34" s="31" t="n"/>
    </row>
    <row r="35" ht="20" customHeight="1">
      <c r="B35" s="32" t="inlineStr">
        <is>
          <t>Показатель / Этап расчета</t>
        </is>
      </c>
      <c r="C35" s="32" t="inlineStr">
        <is>
          <t>Символ</t>
        </is>
      </c>
      <c r="D35" s="32" t="inlineStr">
        <is>
          <t>Математическая модель</t>
        </is>
      </c>
      <c r="E35" s="32" t="inlineStr">
        <is>
          <t>Численное значение</t>
        </is>
      </c>
      <c r="F35" s="32" t="inlineStr">
        <is>
          <t>Ед.</t>
        </is>
      </c>
      <c r="G35" s="32" t="inlineStr">
        <is>
          <t>Характеристика параметра</t>
        </is>
      </c>
    </row>
    <row r="36" ht="19" customHeight="1">
      <c r="B36" s="14" t="inlineStr">
        <is>
          <t>Число каскадов</t>
        </is>
      </c>
      <c r="C36" s="15" t="inlineStr">
        <is>
          <t>n</t>
        </is>
      </c>
      <c r="D36" s="15" t="inlineStr">
        <is>
          <t>Исходные данные</t>
        </is>
      </c>
      <c r="E36" s="47" t="n">
        <v>3</v>
      </c>
      <c r="F36" s="17" t="inlineStr">
        <is>
          <t>шт.</t>
        </is>
      </c>
      <c r="G36" s="34" t="inlineStr">
        <is>
          <t>Последовательные узлы</t>
        </is>
      </c>
    </row>
    <row r="37" ht="19" customHeight="1">
      <c r="B37" s="14" t="inlineStr">
        <is>
          <t>Интенсивность каскада</t>
        </is>
      </c>
      <c r="C37" s="15" t="inlineStr">
        <is>
          <t>λ</t>
        </is>
      </c>
      <c r="D37" s="15" t="inlineStr">
        <is>
          <t>Исходные данные</t>
        </is>
      </c>
      <c r="E37" s="33" t="n">
        <v>0.0005</v>
      </c>
      <c r="F37" s="17" t="inlineStr">
        <is>
          <t>1/ч</t>
        </is>
      </c>
      <c r="G37" s="34" t="inlineStr">
        <is>
          <t>λ = 5.0*10^-4 1/ч</t>
        </is>
      </c>
    </row>
    <row r="38" ht="19" customHeight="1">
      <c r="B38" s="14" t="inlineStr">
        <is>
          <t>Контрольное время</t>
        </is>
      </c>
      <c r="C38" s="15" t="inlineStr">
        <is>
          <t>t</t>
        </is>
      </c>
      <c r="D38" s="15" t="inlineStr">
        <is>
          <t>Принято</t>
        </is>
      </c>
      <c r="E38" s="35" t="n">
        <v>100</v>
      </c>
      <c r="F38" s="17" t="inlineStr">
        <is>
          <t>ч</t>
        </is>
      </c>
      <c r="G38" s="34" t="inlineStr">
        <is>
          <t>t = 100 ч</t>
        </is>
      </c>
    </row>
    <row r="39" ht="20" customHeight="1">
      <c r="B39" s="10" t="inlineStr">
        <is>
          <t>Интенсивность цепи передатчика</t>
        </is>
      </c>
      <c r="C39" s="20" t="inlineStr">
        <is>
          <t>λ0</t>
        </is>
      </c>
      <c r="D39" s="36" t="inlineStr">
        <is>
          <t>n * λ</t>
        </is>
      </c>
      <c r="E39" s="37">
        <f>E36*E37</f>
        <v/>
      </c>
      <c r="F39" s="22" t="inlineStr">
        <is>
          <t>1/ч</t>
        </is>
      </c>
      <c r="G39" s="38" t="inlineStr">
        <is>
          <t>λ0 = 0.0015 1/ч</t>
        </is>
      </c>
    </row>
    <row r="40" ht="20" customHeight="1">
      <c r="B40" s="39" t="inlineStr">
        <is>
          <t>Средняя наработка mtc</t>
        </is>
      </c>
      <c r="C40" s="40" t="inlineStr">
        <is>
          <t>mtc</t>
        </is>
      </c>
      <c r="D40" s="41" t="inlineStr">
        <is>
          <t>1.5 / λ0</t>
        </is>
      </c>
      <c r="E40" s="48">
        <f>1.5/E39</f>
        <v/>
      </c>
      <c r="F40" s="43" t="inlineStr">
        <is>
          <t>ч</t>
        </is>
      </c>
      <c r="G40" s="44" t="inlineStr">
        <is>
          <t>mtc = 1.5 / 0.0015 = 1000 ч</t>
        </is>
      </c>
    </row>
    <row r="41" ht="20" customHeight="1">
      <c r="B41" s="39" t="inlineStr">
        <is>
          <t>Вероятность работы Pc(t)</t>
        </is>
      </c>
      <c r="C41" s="40" t="inlineStr">
        <is>
          <t>Pc(t)</t>
        </is>
      </c>
      <c r="D41" s="41" t="inlineStr">
        <is>
          <t>1 - (1 - EXP(-λ0*t))^2</t>
        </is>
      </c>
      <c r="E41" s="42">
        <f>1-(1-EXP(-E39*E38))^2</f>
        <v/>
      </c>
      <c r="F41" s="43" t="inlineStr">
        <is>
          <t>—</t>
        </is>
      </c>
      <c r="G41" s="44" t="inlineStr">
        <is>
          <t>Pc(100) = 0.98060</t>
        </is>
      </c>
    </row>
    <row r="42" ht="20" customHeight="1">
      <c r="B42" s="39" t="inlineStr">
        <is>
          <t>Частота отказов fc(t)</t>
        </is>
      </c>
      <c r="C42" s="40" t="inlineStr">
        <is>
          <t>fc(t)</t>
        </is>
      </c>
      <c r="D42" s="41" t="inlineStr">
        <is>
          <t>2*λ0*EXP(-λ0*t)*(1-EXP(-λ0*t))</t>
        </is>
      </c>
      <c r="E42" s="49">
        <f>2*E39*EXP(-E39*E38)*(1-EXP(-E39*E38))</f>
        <v/>
      </c>
      <c r="F42" s="43" t="inlineStr">
        <is>
          <t>1/ч</t>
        </is>
      </c>
      <c r="G42" s="44" t="inlineStr">
        <is>
          <t>fc(100) ≈ 0.000360 1/ч</t>
        </is>
      </c>
    </row>
    <row r="43" ht="20" customHeight="1">
      <c r="B43" s="39" t="inlineStr">
        <is>
          <t>Интенсивность отказов λc(t)</t>
        </is>
      </c>
      <c r="C43" s="40" t="inlineStr">
        <is>
          <t>λc(t)</t>
        </is>
      </c>
      <c r="D43" s="41" t="inlineStr">
        <is>
          <t>fc(t) / Pc(t)</t>
        </is>
      </c>
      <c r="E43" s="49">
        <f>E42/E41</f>
        <v/>
      </c>
      <c r="F43" s="43" t="inlineStr">
        <is>
          <t>1/ч</t>
        </is>
      </c>
      <c r="G43" s="44" t="inlineStr">
        <is>
          <t>λc(100) ≈ 0.000367 1/ч</t>
        </is>
      </c>
    </row>
    <row r="44" ht="22" customHeight="1">
      <c r="B44" s="45" t="inlineStr">
        <is>
          <t>Инженерное заключение: mtc = 1000 ч; Pc(t) = 2e^-0.0015t - e^-0.003t. Вероятность безотказной работы на интервале 100 ч составляет 98.06%.</t>
        </is>
      </c>
      <c r="C44" s="46" t="n"/>
      <c r="D44" s="46" t="n"/>
      <c r="E44" s="46" t="n"/>
      <c r="F44" s="46" t="n"/>
      <c r="G44" s="46" t="n"/>
    </row>
    <row r="47" ht="21" customHeight="1">
      <c r="B47" s="29" t="inlineStr">
        <is>
          <t>ЗАДАЧА № 7. ИНТЕНСИВНОСТЬ ОТКАЗОВ СХЕМЫ 4.4</t>
        </is>
      </c>
      <c r="C47" s="4" t="n"/>
      <c r="D47" s="4" t="n"/>
      <c r="E47" s="4" t="n"/>
      <c r="F47" s="4" t="n"/>
      <c r="G47" s="4" t="n"/>
    </row>
    <row r="48" ht="20" customHeight="1">
      <c r="B48" s="30" t="inlineStr">
        <is>
          <t>Постановка задачи: Схема 4.4: две ветви по 4 блока λ. Нагруженный резерв. Определить аналитическое выражение интенсивности отказов λc(t).</t>
        </is>
      </c>
      <c r="C48" s="31" t="n"/>
      <c r="D48" s="31" t="n"/>
      <c r="E48" s="31" t="n"/>
      <c r="F48" s="31" t="n"/>
      <c r="G48" s="31" t="n"/>
    </row>
    <row r="49" ht="20" customHeight="1">
      <c r="B49" s="32" t="inlineStr">
        <is>
          <t>Показатель / Этап расчета</t>
        </is>
      </c>
      <c r="C49" s="32" t="inlineStr">
        <is>
          <t>Символ</t>
        </is>
      </c>
      <c r="D49" s="32" t="inlineStr">
        <is>
          <t>Математическая модель</t>
        </is>
      </c>
      <c r="E49" s="32" t="inlineStr">
        <is>
          <t>Численное значение</t>
        </is>
      </c>
      <c r="F49" s="32" t="inlineStr">
        <is>
          <t>Ед.</t>
        </is>
      </c>
      <c r="G49" s="32" t="inlineStr">
        <is>
          <t>Характеристика параметра</t>
        </is>
      </c>
    </row>
    <row r="50" ht="19" customHeight="1">
      <c r="B50" s="14" t="inlineStr">
        <is>
          <t>Число блоков цепи</t>
        </is>
      </c>
      <c r="C50" s="15" t="inlineStr">
        <is>
          <t>n</t>
        </is>
      </c>
      <c r="D50" s="15" t="inlineStr">
        <is>
          <t>Схема 4.4</t>
        </is>
      </c>
      <c r="E50" s="47" t="n">
        <v>4</v>
      </c>
      <c r="F50" s="17" t="inlineStr">
        <is>
          <t>шт.</t>
        </is>
      </c>
      <c r="G50" s="34" t="inlineStr">
        <is>
          <t>4 блока в ветви</t>
        </is>
      </c>
    </row>
    <row r="51" ht="19" customHeight="1">
      <c r="B51" s="14" t="inlineStr">
        <is>
          <t>Базовая интенсивность</t>
        </is>
      </c>
      <c r="C51" s="15" t="inlineStr">
        <is>
          <t>λ</t>
        </is>
      </c>
      <c r="D51" s="15" t="inlineStr">
        <is>
          <t>Принято</t>
        </is>
      </c>
      <c r="E51" s="33" t="n">
        <v>0.0001</v>
      </c>
      <c r="F51" s="17" t="inlineStr">
        <is>
          <t>1/ч</t>
        </is>
      </c>
      <c r="G51" s="34" t="inlineStr">
        <is>
          <t>λ = 1.0*10^-4 1/ч</t>
        </is>
      </c>
    </row>
    <row r="52" ht="19" customHeight="1">
      <c r="B52" s="14" t="inlineStr">
        <is>
          <t>Время t</t>
        </is>
      </c>
      <c r="C52" s="15" t="inlineStr">
        <is>
          <t>t</t>
        </is>
      </c>
      <c r="D52" s="15" t="inlineStr">
        <is>
          <t>Принято</t>
        </is>
      </c>
      <c r="E52" s="35" t="n">
        <v>100</v>
      </c>
      <c r="F52" s="17" t="inlineStr">
        <is>
          <t>ч</t>
        </is>
      </c>
      <c r="G52" s="34" t="inlineStr">
        <is>
          <t>t = 100 ч</t>
        </is>
      </c>
    </row>
    <row r="53" ht="20" customHeight="1">
      <c r="B53" s="10" t="inlineStr">
        <is>
          <t>Интенсивность ветви</t>
        </is>
      </c>
      <c r="C53" s="20" t="inlineStr">
        <is>
          <t>λ0</t>
        </is>
      </c>
      <c r="D53" s="36" t="inlineStr">
        <is>
          <t>4 * λ</t>
        </is>
      </c>
      <c r="E53" s="37">
        <f>4*E51</f>
        <v/>
      </c>
      <c r="F53" s="22" t="inlineStr">
        <is>
          <t>1/ч</t>
        </is>
      </c>
      <c r="G53" s="38" t="inlineStr">
        <is>
          <t>λ0 = 0.0004 1/ч</t>
        </is>
      </c>
    </row>
    <row r="54" ht="20" customHeight="1">
      <c r="B54" s="39" t="inlineStr">
        <is>
          <t>Наработка на отказ mtc</t>
        </is>
      </c>
      <c r="C54" s="40" t="inlineStr">
        <is>
          <t>mtc</t>
        </is>
      </c>
      <c r="D54" s="41" t="inlineStr">
        <is>
          <t>1.5 / λ0</t>
        </is>
      </c>
      <c r="E54" s="48">
        <f>1.5/E53</f>
        <v/>
      </c>
      <c r="F54" s="43" t="inlineStr">
        <is>
          <t>ч</t>
        </is>
      </c>
      <c r="G54" s="44" t="inlineStr">
        <is>
          <t>mtc = 3/(8λ) = 3750 ч</t>
        </is>
      </c>
    </row>
    <row r="55" ht="20" customHeight="1">
      <c r="B55" s="39" t="inlineStr">
        <is>
          <t>Интенсивность отказов λc(t)</t>
        </is>
      </c>
      <c r="C55" s="40" t="inlineStr">
        <is>
          <t>λc(t)</t>
        </is>
      </c>
      <c r="D55" s="41" t="inlineStr">
        <is>
          <t>(8*λ*(1-EXP(-4*λ*t)))/(2-EXP(-4*λ*t))</t>
        </is>
      </c>
      <c r="E55" s="49">
        <f>(8*E51*(1-EXP(-4*E51*E52)))/(2-EXP(-4*E51*E52))</f>
        <v/>
      </c>
      <c r="F55" s="43" t="inlineStr">
        <is>
          <t>1/ч</t>
        </is>
      </c>
      <c r="G55" s="44" t="inlineStr">
        <is>
          <t>λc(t) = 8λ(1-e^-4λt)/(2-e^-4λt)</t>
        </is>
      </c>
    </row>
    <row r="56" ht="19" customHeight="1">
      <c r="B56" s="45" t="inlineStr">
        <is>
          <t>Инженерное заключение: Аналитическая зависимость: λc(t) = 8λ(1 - e^-4λt) / (2 - e^-4λt).</t>
        </is>
      </c>
      <c r="C56" s="46" t="n"/>
      <c r="D56" s="46" t="n"/>
      <c r="E56" s="46" t="n"/>
      <c r="F56" s="46" t="n"/>
      <c r="G56" s="46" t="n"/>
    </row>
    <row r="59" ht="21" customHeight="1">
      <c r="B59" s="29" t="inlineStr">
        <is>
          <t>ЗАДАЧА № 8. НАДЕЖНОСТЬ ТРЕХБЛОЧНОЙ СИСТЕМЫ</t>
        </is>
      </c>
      <c r="C59" s="4" t="n"/>
      <c r="D59" s="4" t="n"/>
      <c r="E59" s="4" t="n"/>
      <c r="F59" s="4" t="n"/>
      <c r="G59" s="4" t="n"/>
    </row>
    <row r="60" ht="20" customHeight="1">
      <c r="B60" s="30" t="inlineStr">
        <is>
          <t>Постановка задачи: Технологическая система из блоков I, II, III (λ1, λ2, λ3). Найти Pc(t) без резерва и при дублировании системы в целом.</t>
        </is>
      </c>
      <c r="C60" s="31" t="n"/>
      <c r="D60" s="31" t="n"/>
      <c r="E60" s="31" t="n"/>
      <c r="F60" s="31" t="n"/>
      <c r="G60" s="31" t="n"/>
    </row>
    <row r="61" ht="20" customHeight="1">
      <c r="B61" s="32" t="inlineStr">
        <is>
          <t>Показатель / Этап расчета</t>
        </is>
      </c>
      <c r="C61" s="32" t="inlineStr">
        <is>
          <t>Символ</t>
        </is>
      </c>
      <c r="D61" s="32" t="inlineStr">
        <is>
          <t>Математическая модель</t>
        </is>
      </c>
      <c r="E61" s="32" t="inlineStr">
        <is>
          <t>Численное значение</t>
        </is>
      </c>
      <c r="F61" s="32" t="inlineStr">
        <is>
          <t>Ед.</t>
        </is>
      </c>
      <c r="G61" s="32" t="inlineStr">
        <is>
          <t>Характеристика параметра</t>
        </is>
      </c>
    </row>
    <row r="62" ht="19" customHeight="1">
      <c r="B62" s="14" t="inlineStr">
        <is>
          <t>Интенсивность блока 1</t>
        </is>
      </c>
      <c r="C62" s="15" t="inlineStr">
        <is>
          <t>λ1</t>
        </is>
      </c>
      <c r="D62" s="15" t="inlineStr">
        <is>
          <t>Исходные данные</t>
        </is>
      </c>
      <c r="E62" s="33" t="n">
        <v>0.0002</v>
      </c>
      <c r="F62" s="17" t="inlineStr">
        <is>
          <t>1/ч</t>
        </is>
      </c>
      <c r="G62" s="34" t="inlineStr">
        <is>
          <t>λ1 = 2.0*10^-4 1/ч</t>
        </is>
      </c>
    </row>
    <row r="63" ht="19" customHeight="1">
      <c r="B63" s="14" t="inlineStr">
        <is>
          <t>Интенсивность блока 2</t>
        </is>
      </c>
      <c r="C63" s="15" t="inlineStr">
        <is>
          <t>λ2</t>
        </is>
      </c>
      <c r="D63" s="15" t="inlineStr">
        <is>
          <t>Исходные данные</t>
        </is>
      </c>
      <c r="E63" s="33" t="n">
        <v>0.0003</v>
      </c>
      <c r="F63" s="17" t="inlineStr">
        <is>
          <t>1/ч</t>
        </is>
      </c>
      <c r="G63" s="34" t="inlineStr">
        <is>
          <t>λ2 = 3.0*10^-4 1/ч</t>
        </is>
      </c>
    </row>
    <row r="64" ht="19" customHeight="1">
      <c r="B64" s="14" t="inlineStr">
        <is>
          <t>Интенсивность блока 3</t>
        </is>
      </c>
      <c r="C64" s="15" t="inlineStr">
        <is>
          <t>λ3</t>
        </is>
      </c>
      <c r="D64" s="15" t="inlineStr">
        <is>
          <t>Исходные данные</t>
        </is>
      </c>
      <c r="E64" s="33" t="n">
        <v>0.0005</v>
      </c>
      <c r="F64" s="17" t="inlineStr">
        <is>
          <t>1/ч</t>
        </is>
      </c>
      <c r="G64" s="34" t="inlineStr">
        <is>
          <t>λ3 = 5.0*10^-4 1/ч</t>
        </is>
      </c>
    </row>
    <row r="65" ht="19" customHeight="1">
      <c r="B65" s="14" t="inlineStr">
        <is>
          <t>Время работы</t>
        </is>
      </c>
      <c r="C65" s="15" t="inlineStr">
        <is>
          <t>t</t>
        </is>
      </c>
      <c r="D65" s="15" t="inlineStr">
        <is>
          <t>Принято</t>
        </is>
      </c>
      <c r="E65" s="35" t="n">
        <v>100</v>
      </c>
      <c r="F65" s="17" t="inlineStr">
        <is>
          <t>ч</t>
        </is>
      </c>
      <c r="G65" s="34" t="inlineStr">
        <is>
          <t>Контрольная точка t = 100 ч</t>
        </is>
      </c>
    </row>
    <row r="66" ht="20" customHeight="1">
      <c r="B66" s="10" t="inlineStr">
        <is>
          <t>Интенсивность цепи</t>
        </is>
      </c>
      <c r="C66" s="20" t="inlineStr">
        <is>
          <t>λ0</t>
        </is>
      </c>
      <c r="D66" s="36" t="inlineStr">
        <is>
          <t>λ1 + λ2 + λ3</t>
        </is>
      </c>
      <c r="E66" s="37">
        <f>E62+E63+E64</f>
        <v/>
      </c>
      <c r="F66" s="22" t="inlineStr">
        <is>
          <t>1/ч</t>
        </is>
      </c>
      <c r="G66" s="38" t="inlineStr">
        <is>
          <t>λ0 = 0.001 1/ч</t>
        </is>
      </c>
    </row>
    <row r="67" ht="20" customHeight="1">
      <c r="B67" s="39" t="inlineStr">
        <is>
          <t>а) Надежность без резерва</t>
        </is>
      </c>
      <c r="C67" s="40" t="inlineStr">
        <is>
          <t>Pc_нр</t>
        </is>
      </c>
      <c r="D67" s="41" t="inlineStr">
        <is>
          <t>EXP(-λ0 * t)</t>
        </is>
      </c>
      <c r="E67" s="42">
        <f>EXP(-E66*E65)</f>
        <v/>
      </c>
      <c r="F67" s="43" t="inlineStr">
        <is>
          <t>—</t>
        </is>
      </c>
      <c r="G67" s="44" t="inlineStr">
        <is>
          <t>Pc(t) = e^-(λ1+λ2+λ3)t</t>
        </is>
      </c>
    </row>
    <row r="68" ht="20" customHeight="1">
      <c r="B68" s="39" t="inlineStr">
        <is>
          <t>б) Надежность с дублированием</t>
        </is>
      </c>
      <c r="C68" s="40" t="inlineStr">
        <is>
          <t>Pc_дубл</t>
        </is>
      </c>
      <c r="D68" s="41" t="inlineStr">
        <is>
          <t>1 - (1 - EXP(-λ0*t))^2</t>
        </is>
      </c>
      <c r="E68" s="42">
        <f>1-(1-EXP(-E66*E65))^2</f>
        <v/>
      </c>
      <c r="F68" s="43" t="inlineStr">
        <is>
          <t>—</t>
        </is>
      </c>
      <c r="G68" s="44" t="inlineStr">
        <is>
          <t>Pc(t) = 2e^-λ0t - e^-2λ0t</t>
        </is>
      </c>
    </row>
    <row r="69" ht="19" customHeight="1">
      <c r="B69" s="45" t="inlineStr">
        <is>
          <t>Инженерное заключение: а) Pc = e^-λ0t; б) Pc = 2e^-λ0t - e^-2λ0t, где λ0 = λ1 + λ2 + λ3.</t>
        </is>
      </c>
      <c r="C69" s="46" t="n"/>
      <c r="D69" s="46" t="n"/>
      <c r="E69" s="46" t="n"/>
      <c r="F69" s="46" t="n"/>
      <c r="G69" s="46" t="n"/>
    </row>
    <row r="72" ht="21" customHeight="1">
      <c r="B72" s="29" t="inlineStr">
        <is>
          <t>ЗАДАЧА № 9. РАСЧЕТ ИЗДЕЛИЯ С ТРОЙНЫМ РЕЗЕРВИРОВАНИЕМ</t>
        </is>
      </c>
      <c r="C72" s="4" t="n"/>
      <c r="D72" s="4" t="n"/>
      <c r="E72" s="4" t="n"/>
      <c r="F72" s="4" t="n"/>
      <c r="G72" s="4" t="n"/>
    </row>
    <row r="73" ht="34" customHeight="1">
      <c r="B73" s="30" t="inlineStr">
        <is>
          <t>Постановка задачи: Схема 4.5: тройное резервирование цепей (m=2). В ветви λ1=0.3*10^-3, λ2=0.7*10^-3 1/ч. Найти Pc(100), mtc, fc(100), λc(100).</t>
        </is>
      </c>
      <c r="C73" s="31" t="n"/>
      <c r="D73" s="31" t="n"/>
      <c r="E73" s="31" t="n"/>
      <c r="F73" s="31" t="n"/>
      <c r="G73" s="31" t="n"/>
    </row>
    <row r="74" ht="20" customHeight="1">
      <c r="B74" s="32" t="inlineStr">
        <is>
          <t>Показатель / Этап расчета</t>
        </is>
      </c>
      <c r="C74" s="32" t="inlineStr">
        <is>
          <t>Символ</t>
        </is>
      </c>
      <c r="D74" s="32" t="inlineStr">
        <is>
          <t>Математическая модель</t>
        </is>
      </c>
      <c r="E74" s="32" t="inlineStr">
        <is>
          <t>Численное значение</t>
        </is>
      </c>
      <c r="F74" s="32" t="inlineStr">
        <is>
          <t>Ед.</t>
        </is>
      </c>
      <c r="G74" s="32" t="inlineStr">
        <is>
          <t>Характеристика параметра</t>
        </is>
      </c>
    </row>
    <row r="75" ht="19" customHeight="1">
      <c r="B75" s="14" t="inlineStr">
        <is>
          <t>Интенсивность элемента 1</t>
        </is>
      </c>
      <c r="C75" s="15" t="inlineStr">
        <is>
          <t>λ1</t>
        </is>
      </c>
      <c r="D75" s="15" t="inlineStr">
        <is>
          <t>Дано</t>
        </is>
      </c>
      <c r="E75" s="33" t="n">
        <v>0.0003</v>
      </c>
      <c r="F75" s="17" t="inlineStr">
        <is>
          <t>1/ч</t>
        </is>
      </c>
      <c r="G75" s="34" t="inlineStr">
        <is>
          <t>λ1 = 0.3*10^-3 1/ч</t>
        </is>
      </c>
    </row>
    <row r="76" ht="19" customHeight="1">
      <c r="B76" s="14" t="inlineStr">
        <is>
          <t>Интенсивность элемента 2</t>
        </is>
      </c>
      <c r="C76" s="15" t="inlineStr">
        <is>
          <t>λ2</t>
        </is>
      </c>
      <c r="D76" s="15" t="inlineStr">
        <is>
          <t>Дано</t>
        </is>
      </c>
      <c r="E76" s="33" t="n">
        <v>0.0007</v>
      </c>
      <c r="F76" s="17" t="inlineStr">
        <is>
          <t>1/ч</t>
        </is>
      </c>
      <c r="G76" s="34" t="inlineStr">
        <is>
          <t>λ2 = 0.7*10^-3 1/ч</t>
        </is>
      </c>
    </row>
    <row r="77" ht="19" customHeight="1">
      <c r="B77" s="14" t="inlineStr">
        <is>
          <t>Число цепей (кратность m=2)</t>
        </is>
      </c>
      <c r="C77" s="15" t="inlineStr">
        <is>
          <t>k</t>
        </is>
      </c>
      <c r="D77" s="15" t="inlineStr">
        <is>
          <t>Схема 4.5</t>
        </is>
      </c>
      <c r="E77" s="47" t="n">
        <v>3</v>
      </c>
      <c r="F77" s="17" t="inlineStr">
        <is>
          <t>шт.</t>
        </is>
      </c>
      <c r="G77" s="34" t="inlineStr">
        <is>
          <t>3 параллельные цепи</t>
        </is>
      </c>
    </row>
    <row r="78" ht="19" customHeight="1">
      <c r="B78" s="14" t="inlineStr">
        <is>
          <t>Время t</t>
        </is>
      </c>
      <c r="C78" s="15" t="inlineStr">
        <is>
          <t>t</t>
        </is>
      </c>
      <c r="D78" s="15" t="inlineStr">
        <is>
          <t>Дано</t>
        </is>
      </c>
      <c r="E78" s="35" t="n">
        <v>100</v>
      </c>
      <c r="F78" s="17" t="inlineStr">
        <is>
          <t>ч</t>
        </is>
      </c>
      <c r="G78" s="34" t="inlineStr">
        <is>
          <t>t = 100 ч</t>
        </is>
      </c>
    </row>
    <row r="79" ht="20" customHeight="1">
      <c r="B79" s="10" t="inlineStr">
        <is>
          <t>Интенсивность одной цепи</t>
        </is>
      </c>
      <c r="C79" s="20" t="inlineStr">
        <is>
          <t>λ0</t>
        </is>
      </c>
      <c r="D79" s="36" t="inlineStr">
        <is>
          <t>λ1 + λ2</t>
        </is>
      </c>
      <c r="E79" s="37">
        <f>E75+E76</f>
        <v/>
      </c>
      <c r="F79" s="22" t="inlineStr">
        <is>
          <t>1/ч</t>
        </is>
      </c>
      <c r="G79" s="38" t="inlineStr">
        <is>
          <t>λ0 = 0.001 1/ч</t>
        </is>
      </c>
    </row>
    <row r="80" ht="20" customHeight="1">
      <c r="B80" s="10" t="inlineStr">
        <is>
          <t>Вероятность цепи P0(t)</t>
        </is>
      </c>
      <c r="C80" s="20" t="inlineStr">
        <is>
          <t>P0(t)</t>
        </is>
      </c>
      <c r="D80" s="36" t="inlineStr">
        <is>
          <t>EXP(-λ0 * t)</t>
        </is>
      </c>
      <c r="E80" s="50">
        <f>EXP(-E79*E78)</f>
        <v/>
      </c>
      <c r="F80" s="22" t="inlineStr">
        <is>
          <t>—</t>
        </is>
      </c>
      <c r="G80" s="38" t="inlineStr">
        <is>
          <t>P0(100) = e^-0.1 ≈ 0.90484</t>
        </is>
      </c>
    </row>
    <row r="81" ht="20" customHeight="1">
      <c r="B81" s="39" t="inlineStr">
        <is>
          <t>Вероятность системы Pc(100)</t>
        </is>
      </c>
      <c r="C81" s="40" t="inlineStr">
        <is>
          <t>Pc(100)</t>
        </is>
      </c>
      <c r="D81" s="41" t="inlineStr">
        <is>
          <t>1 - (1 - P0(t))^3</t>
        </is>
      </c>
      <c r="E81" s="42">
        <f>1-(1-E80)^3</f>
        <v/>
      </c>
      <c r="F81" s="43" t="inlineStr">
        <is>
          <t>—</t>
        </is>
      </c>
      <c r="G81" s="44" t="inlineStr">
        <is>
          <t>Pc(100) = 1 - (1 - e^-0.1)^3 ≈ 0.99914</t>
        </is>
      </c>
    </row>
    <row r="82" ht="20" customHeight="1">
      <c r="B82" s="39" t="inlineStr">
        <is>
          <t>Средняя наработка mtc</t>
        </is>
      </c>
      <c r="C82" s="40" t="inlineStr">
        <is>
          <t>mtc</t>
        </is>
      </c>
      <c r="D82" s="41" t="inlineStr">
        <is>
          <t>(11/6) / λ0</t>
        </is>
      </c>
      <c r="E82" s="48">
        <f>(1+1/2+1/3)/E79</f>
        <v/>
      </c>
      <c r="F82" s="43" t="inlineStr">
        <is>
          <t>ч</t>
        </is>
      </c>
      <c r="G82" s="44" t="inlineStr">
        <is>
          <t>mtc = 1833.33 ч</t>
        </is>
      </c>
    </row>
    <row r="83" ht="20" customHeight="1">
      <c r="B83" s="39" t="inlineStr">
        <is>
          <t>Частота отказов fc(100)</t>
        </is>
      </c>
      <c r="C83" s="40" t="inlineStr">
        <is>
          <t>fc(100)</t>
        </is>
      </c>
      <c r="D83" s="41" t="inlineStr">
        <is>
          <t>3*λ0*P0*(1-P0)^2</t>
        </is>
      </c>
      <c r="E83" s="49">
        <f>3*E79*E80*(1-E80)^2</f>
        <v/>
      </c>
      <c r="F83" s="43" t="inlineStr">
        <is>
          <t>1/ч</t>
        </is>
      </c>
      <c r="G83" s="44" t="inlineStr">
        <is>
          <t>fc(100) ≈ 2.46*10^-5 1/ч</t>
        </is>
      </c>
    </row>
    <row r="84" ht="20" customHeight="1">
      <c r="B84" s="39" t="inlineStr">
        <is>
          <t>Интенсивность отказов λc(100)</t>
        </is>
      </c>
      <c r="C84" s="40" t="inlineStr">
        <is>
          <t>λc(100)</t>
        </is>
      </c>
      <c r="D84" s="41" t="inlineStr">
        <is>
          <t>fc(100) / Pc(100)</t>
        </is>
      </c>
      <c r="E84" s="49">
        <f>E83/E81</f>
        <v/>
      </c>
      <c r="F84" s="43" t="inlineStr">
        <is>
          <t>1/ч</t>
        </is>
      </c>
      <c r="G84" s="44" t="inlineStr">
        <is>
          <t>λc(100) ≈ 2.46*10^-5 1/ч</t>
        </is>
      </c>
    </row>
    <row r="85" ht="19" customHeight="1">
      <c r="B85" s="45" t="inlineStr">
        <is>
          <t>Инженерное заключение: Тройное резервирование обеспечивает Pc(100) = 99.91% и наработку mtc = 1833.33 ч.</t>
        </is>
      </c>
      <c r="C85" s="46" t="n"/>
      <c r="D85" s="46" t="n"/>
      <c r="E85" s="46" t="n"/>
      <c r="F85" s="46" t="n"/>
      <c r="G85" s="46" t="n"/>
    </row>
    <row r="88" ht="21" customHeight="1">
      <c r="B88" s="29" t="inlineStr">
        <is>
          <t>ЗАДАЧА № 10. ДУБЛИРОВАНИЕ ТЕЛЕВИЗИОННОГО КАНАЛА СВЯЗИ</t>
        </is>
      </c>
      <c r="C88" s="4" t="n"/>
      <c r="D88" s="4" t="n"/>
      <c r="E88" s="4" t="n"/>
      <c r="F88" s="4" t="n"/>
      <c r="G88" s="4" t="n"/>
    </row>
    <row r="89" ht="34" customHeight="1">
      <c r="B89" s="30" t="inlineStr">
        <is>
          <t>Постановка задачи: Телевизионный канал (схема 4.6): передатчик (λп=2*10^-3) и приемник (λпр=1*10^-3 1/ч), общее дублирование. Найти Pc(t), mtc, fc(t), λc(t).</t>
        </is>
      </c>
      <c r="C89" s="31" t="n"/>
      <c r="D89" s="31" t="n"/>
      <c r="E89" s="31" t="n"/>
      <c r="F89" s="31" t="n"/>
      <c r="G89" s="31" t="n"/>
    </row>
    <row r="90" ht="20" customHeight="1">
      <c r="B90" s="32" t="inlineStr">
        <is>
          <t>Показатель / Этап расчета</t>
        </is>
      </c>
      <c r="C90" s="32" t="inlineStr">
        <is>
          <t>Символ</t>
        </is>
      </c>
      <c r="D90" s="32" t="inlineStr">
        <is>
          <t>Математическая модель</t>
        </is>
      </c>
      <c r="E90" s="32" t="inlineStr">
        <is>
          <t>Численное значение</t>
        </is>
      </c>
      <c r="F90" s="32" t="inlineStr">
        <is>
          <t>Ед.</t>
        </is>
      </c>
      <c r="G90" s="32" t="inlineStr">
        <is>
          <t>Характеристика параметра</t>
        </is>
      </c>
    </row>
    <row r="91" ht="19" customHeight="1">
      <c r="B91" s="14" t="inlineStr">
        <is>
          <t>Интенсивность передатчика</t>
        </is>
      </c>
      <c r="C91" s="15" t="inlineStr">
        <is>
          <t>λп</t>
        </is>
      </c>
      <c r="D91" s="15" t="inlineStr">
        <is>
          <t>Дано</t>
        </is>
      </c>
      <c r="E91" s="33" t="n">
        <v>0.002</v>
      </c>
      <c r="F91" s="17" t="inlineStr">
        <is>
          <t>1/ч</t>
        </is>
      </c>
      <c r="G91" s="34" t="inlineStr">
        <is>
          <t>λп = 2.0*10^-3 1/ч</t>
        </is>
      </c>
    </row>
    <row r="92" ht="19" customHeight="1">
      <c r="B92" s="14" t="inlineStr">
        <is>
          <t>Интенсивность приемника</t>
        </is>
      </c>
      <c r="C92" s="15" t="inlineStr">
        <is>
          <t>λпр</t>
        </is>
      </c>
      <c r="D92" s="15" t="inlineStr">
        <is>
          <t>Дано</t>
        </is>
      </c>
      <c r="E92" s="33" t="n">
        <v>0.001</v>
      </c>
      <c r="F92" s="17" t="inlineStr">
        <is>
          <t>1/ч</t>
        </is>
      </c>
      <c r="G92" s="34" t="inlineStr">
        <is>
          <t>λпр = 1.0*10^-3 1/ч</t>
        </is>
      </c>
    </row>
    <row r="93" ht="19" customHeight="1">
      <c r="B93" s="14" t="inlineStr">
        <is>
          <t>Время t</t>
        </is>
      </c>
      <c r="C93" s="15" t="inlineStr">
        <is>
          <t>t</t>
        </is>
      </c>
      <c r="D93" s="15" t="inlineStr">
        <is>
          <t>Принято</t>
        </is>
      </c>
      <c r="E93" s="35" t="n">
        <v>50</v>
      </c>
      <c r="F93" s="17" t="inlineStr">
        <is>
          <t>ч</t>
        </is>
      </c>
      <c r="G93" s="34" t="inlineStr">
        <is>
          <t>t = 50 ч</t>
        </is>
      </c>
    </row>
    <row r="94" ht="20" customHeight="1">
      <c r="B94" s="10" t="inlineStr">
        <is>
          <t>Интенсивность цепи канала</t>
        </is>
      </c>
      <c r="C94" s="20" t="inlineStr">
        <is>
          <t>λ0</t>
        </is>
      </c>
      <c r="D94" s="36" t="inlineStr">
        <is>
          <t>λп + λпр</t>
        </is>
      </c>
      <c r="E94" s="37">
        <f>E91+E92</f>
        <v/>
      </c>
      <c r="F94" s="22" t="inlineStr">
        <is>
          <t>1/ч</t>
        </is>
      </c>
      <c r="G94" s="38" t="inlineStr">
        <is>
          <t>λ0 = 0.003 1/ч</t>
        </is>
      </c>
    </row>
    <row r="95" ht="20" customHeight="1">
      <c r="B95" s="39" t="inlineStr">
        <is>
          <t>Средняя наработка канала mtc</t>
        </is>
      </c>
      <c r="C95" s="40" t="inlineStr">
        <is>
          <t>mtc</t>
        </is>
      </c>
      <c r="D95" s="41" t="inlineStr">
        <is>
          <t>1.5 / λ0</t>
        </is>
      </c>
      <c r="E95" s="48">
        <f>1.5/E94</f>
        <v/>
      </c>
      <c r="F95" s="43" t="inlineStr">
        <is>
          <t>ч</t>
        </is>
      </c>
      <c r="G95" s="44" t="inlineStr">
        <is>
          <t>mtc = 1.5 / 0.003 = 500 ч</t>
        </is>
      </c>
    </row>
    <row r="96" ht="20" customHeight="1">
      <c r="B96" s="39" t="inlineStr">
        <is>
          <t>Вероятность работы Pc(t)</t>
        </is>
      </c>
      <c r="C96" s="40" t="inlineStr">
        <is>
          <t>Pc(t)</t>
        </is>
      </c>
      <c r="D96" s="41" t="inlineStr">
        <is>
          <t>1 - (1 - EXP(-λ0*t))^2</t>
        </is>
      </c>
      <c r="E96" s="42">
        <f>1-(1-EXP(-E94*E93))^2</f>
        <v/>
      </c>
      <c r="F96" s="43" t="inlineStr">
        <is>
          <t>—</t>
        </is>
      </c>
      <c r="G96" s="44" t="inlineStr">
        <is>
          <t>Pc(50) = 0.98060</t>
        </is>
      </c>
    </row>
    <row r="97" ht="20" customHeight="1">
      <c r="B97" s="39" t="inlineStr">
        <is>
          <t>Частота отказов fc(t)</t>
        </is>
      </c>
      <c r="C97" s="40" t="inlineStr">
        <is>
          <t>fc(t)</t>
        </is>
      </c>
      <c r="D97" s="41" t="inlineStr">
        <is>
          <t>2*λ0*EXP(-λ0*t)*(1-EXP(-λ0*t))</t>
        </is>
      </c>
      <c r="E97" s="49">
        <f>2*E94*EXP(-E94*E93)*(1-EXP(-E94*E93))</f>
        <v/>
      </c>
      <c r="F97" s="43" t="inlineStr">
        <is>
          <t>1/ч</t>
        </is>
      </c>
      <c r="G97" s="44" t="inlineStr">
        <is>
          <t>fc(50) ≈ 0.000719 1/ч</t>
        </is>
      </c>
    </row>
    <row r="98" ht="20" customHeight="1">
      <c r="B98" s="39" t="inlineStr">
        <is>
          <t>Интенсивность отказов λc(t)</t>
        </is>
      </c>
      <c r="C98" s="40" t="inlineStr">
        <is>
          <t>λc(t)</t>
        </is>
      </c>
      <c r="D98" s="41" t="inlineStr">
        <is>
          <t>fc(t) / Pc(t)</t>
        </is>
      </c>
      <c r="E98" s="49">
        <f>E97/E96</f>
        <v/>
      </c>
      <c r="F98" s="43" t="inlineStr">
        <is>
          <t>1/ч</t>
        </is>
      </c>
      <c r="G98" s="44" t="inlineStr">
        <is>
          <t>λc(50) ≈ 0.000734 1/ч</t>
        </is>
      </c>
    </row>
    <row r="99" ht="22" customHeight="1">
      <c r="B99" s="45" t="inlineStr">
        <is>
          <t>Инженерное заключение: mtc = 500 ч; аналитические зависимости: Pc(t) = 2e^-0.003t - e^-0.006t; fc(t) = 0.006e^-0.003t(1-e^-0.003t).</t>
        </is>
      </c>
      <c r="C99" s="46" t="n"/>
      <c r="D99" s="46" t="n"/>
      <c r="E99" s="46" t="n"/>
      <c r="F99" s="46" t="n"/>
      <c r="G99" s="46" t="n"/>
    </row>
    <row r="102" ht="21" customHeight="1">
      <c r="B102" s="29" t="inlineStr">
        <is>
          <t>ЗАДАЧА № 11. ИНТЕНСИВНОСТЬ ОТКАЗОВ СХЕМЫ 4.7</t>
        </is>
      </c>
      <c r="C102" s="4" t="n"/>
      <c r="D102" s="4" t="n"/>
      <c r="E102" s="4" t="n"/>
      <c r="F102" s="4" t="n"/>
      <c r="G102" s="4" t="n"/>
    </row>
    <row r="103" ht="20" customHeight="1">
      <c r="B103" s="30" t="inlineStr">
        <is>
          <t>Постановка задачи: Схема 4.7: дублирование цепи двух элементов λ1, λ2. Найти интенсивность отказов λc(t).</t>
        </is>
      </c>
      <c r="C103" s="31" t="n"/>
      <c r="D103" s="31" t="n"/>
      <c r="E103" s="31" t="n"/>
      <c r="F103" s="31" t="n"/>
      <c r="G103" s="31" t="n"/>
    </row>
    <row r="104" ht="20" customHeight="1">
      <c r="B104" s="32" t="inlineStr">
        <is>
          <t>Показатель / Этап расчета</t>
        </is>
      </c>
      <c r="C104" s="32" t="inlineStr">
        <is>
          <t>Символ</t>
        </is>
      </c>
      <c r="D104" s="32" t="inlineStr">
        <is>
          <t>Математическая модель</t>
        </is>
      </c>
      <c r="E104" s="32" t="inlineStr">
        <is>
          <t>Численное значение</t>
        </is>
      </c>
      <c r="F104" s="32" t="inlineStr">
        <is>
          <t>Ед.</t>
        </is>
      </c>
      <c r="G104" s="32" t="inlineStr">
        <is>
          <t>Характеристика параметра</t>
        </is>
      </c>
    </row>
    <row r="105" ht="19" customHeight="1">
      <c r="B105" s="14" t="inlineStr">
        <is>
          <t>Интенсивность элемента 1</t>
        </is>
      </c>
      <c r="C105" s="15" t="inlineStr">
        <is>
          <t>λ1</t>
        </is>
      </c>
      <c r="D105" s="15" t="inlineStr">
        <is>
          <t>Принято</t>
        </is>
      </c>
      <c r="E105" s="33" t="n">
        <v>0.001</v>
      </c>
      <c r="F105" s="17" t="inlineStr">
        <is>
          <t>1/ч</t>
        </is>
      </c>
      <c r="G105" s="34" t="inlineStr">
        <is>
          <t>λ1 = 1.0*10^-3 1/ч</t>
        </is>
      </c>
    </row>
    <row r="106" ht="19" customHeight="1">
      <c r="B106" s="14" t="inlineStr">
        <is>
          <t>Интенсивность элемента 2</t>
        </is>
      </c>
      <c r="C106" s="15" t="inlineStr">
        <is>
          <t>λ2</t>
        </is>
      </c>
      <c r="D106" s="15" t="inlineStr">
        <is>
          <t>Принято</t>
        </is>
      </c>
      <c r="E106" s="33" t="n">
        <v>0.002</v>
      </c>
      <c r="F106" s="17" t="inlineStr">
        <is>
          <t>1/ч</t>
        </is>
      </c>
      <c r="G106" s="34" t="inlineStr">
        <is>
          <t>λ2 = 2.0*10^-3 1/ч</t>
        </is>
      </c>
    </row>
    <row r="107" ht="19" customHeight="1">
      <c r="B107" s="14" t="inlineStr">
        <is>
          <t>Время оценки</t>
        </is>
      </c>
      <c r="C107" s="15" t="inlineStr">
        <is>
          <t>t</t>
        </is>
      </c>
      <c r="D107" s="15" t="inlineStr">
        <is>
          <t>Принято</t>
        </is>
      </c>
      <c r="E107" s="35" t="n">
        <v>50</v>
      </c>
      <c r="F107" s="17" t="inlineStr">
        <is>
          <t>ч</t>
        </is>
      </c>
      <c r="G107" s="34" t="inlineStr">
        <is>
          <t>t = 50 ч</t>
        </is>
      </c>
    </row>
    <row r="108" ht="20" customHeight="1">
      <c r="B108" s="10" t="inlineStr">
        <is>
          <t>Интенсивность цепи</t>
        </is>
      </c>
      <c r="C108" s="20" t="inlineStr">
        <is>
          <t>λ0</t>
        </is>
      </c>
      <c r="D108" s="36" t="inlineStr">
        <is>
          <t>λ1 + λ2</t>
        </is>
      </c>
      <c r="E108" s="37">
        <f>E105+E106</f>
        <v/>
      </c>
      <c r="F108" s="22" t="inlineStr">
        <is>
          <t>1/ч</t>
        </is>
      </c>
      <c r="G108" s="38" t="inlineStr">
        <is>
          <t>λ0 = 0.003 1/ч</t>
        </is>
      </c>
    </row>
    <row r="109" ht="20" customHeight="1">
      <c r="B109" s="39" t="inlineStr">
        <is>
          <t>Интенсивность отказов λc(t)</t>
        </is>
      </c>
      <c r="C109" s="40" t="inlineStr">
        <is>
          <t>λc(t)</t>
        </is>
      </c>
      <c r="D109" s="41" t="inlineStr">
        <is>
          <t>(2*(λ1+λ2)*(1-EXP(-(λ1+λ2)*t)))/(2-EXP(-(λ1+λ2)*t))</t>
        </is>
      </c>
      <c r="E109" s="49">
        <f>(2*E108*(1-EXP(-E108*E107)))/(2-EXP(-E108*E107))</f>
        <v/>
      </c>
      <c r="F109" s="43" t="inlineStr">
        <is>
          <t>1/ч</t>
        </is>
      </c>
      <c r="G109" s="44" t="inlineStr">
        <is>
          <t>λc(t) = 2(λ1+λ2)(1-e^-(λ1+λ2)t)/(2-e^-(λ1+λ2)t)</t>
        </is>
      </c>
    </row>
    <row r="110" ht="19" customHeight="1">
      <c r="B110" s="45" t="inlineStr">
        <is>
          <t>Инженерное заключение: λc(t) = 2(λ1 + λ2)(1 - e^-(λ1+λ2)t) / (2 - e^-(λ1+λ2)t).</t>
        </is>
      </c>
      <c r="C110" s="46" t="n"/>
      <c r="D110" s="46" t="n"/>
      <c r="E110" s="46" t="n"/>
      <c r="F110" s="46" t="n"/>
      <c r="G110" s="46" t="n"/>
    </row>
    <row r="113" ht="21" customHeight="1">
      <c r="B113" s="29" t="inlineStr">
        <is>
          <t>ЗАДАЧА № 12. ДОПУСТИМАЯ ИНТЕНСИВНОСТЬ ОТКАЗОВ ЭЛЕМЕНТА (n = 4000)</t>
        </is>
      </c>
      <c r="C113" s="4" t="n"/>
      <c r="D113" s="4" t="n"/>
      <c r="E113" s="4" t="n"/>
      <c r="F113" s="4" t="n"/>
      <c r="G113" s="4" t="n"/>
    </row>
    <row r="114" ht="20" customHeight="1">
      <c r="B114" s="30" t="inlineStr">
        <is>
          <t>Постановка задачи: Система n=4000 элементов. Задано Pc(100)=0.9 при t=100 ч. Найти λдоп: а) без резерва; б) при общем дублировании.</t>
        </is>
      </c>
      <c r="C114" s="31" t="n"/>
      <c r="D114" s="31" t="n"/>
      <c r="E114" s="31" t="n"/>
      <c r="F114" s="31" t="n"/>
      <c r="G114" s="31" t="n"/>
    </row>
    <row r="115" ht="20" customHeight="1">
      <c r="B115" s="32" t="inlineStr">
        <is>
          <t>Показатель / Этап расчета</t>
        </is>
      </c>
      <c r="C115" s="32" t="inlineStr">
        <is>
          <t>Символ</t>
        </is>
      </c>
      <c r="D115" s="32" t="inlineStr">
        <is>
          <t>Математическая модель</t>
        </is>
      </c>
      <c r="E115" s="32" t="inlineStr">
        <is>
          <t>Численное значение</t>
        </is>
      </c>
      <c r="F115" s="32" t="inlineStr">
        <is>
          <t>Ед.</t>
        </is>
      </c>
      <c r="G115" s="32" t="inlineStr">
        <is>
          <t>Характеристика параметра</t>
        </is>
      </c>
    </row>
    <row r="116" ht="19" customHeight="1">
      <c r="B116" s="14" t="inlineStr">
        <is>
          <t>Число элементов</t>
        </is>
      </c>
      <c r="C116" s="15" t="inlineStr">
        <is>
          <t>n</t>
        </is>
      </c>
      <c r="D116" s="15" t="inlineStr">
        <is>
          <t>Дано</t>
        </is>
      </c>
      <c r="E116" s="47" t="n">
        <v>4000</v>
      </c>
      <c r="F116" s="17" t="inlineStr">
        <is>
          <t>шт.</t>
        </is>
      </c>
      <c r="G116" s="34" t="inlineStr">
        <is>
          <t>n = 4000</t>
        </is>
      </c>
    </row>
    <row r="117" ht="19" customHeight="1">
      <c r="B117" s="14" t="inlineStr">
        <is>
          <t>Требуемая вероятность Pc</t>
        </is>
      </c>
      <c r="C117" s="15" t="inlineStr">
        <is>
          <t>Pc</t>
        </is>
      </c>
      <c r="D117" s="15" t="inlineStr">
        <is>
          <t>Дано</t>
        </is>
      </c>
      <c r="E117" s="51" t="n">
        <v>0.9</v>
      </c>
      <c r="F117" s="17" t="inlineStr">
        <is>
          <t>—</t>
        </is>
      </c>
      <c r="G117" s="34" t="inlineStr">
        <is>
          <t>Pc(100) = 0.90</t>
        </is>
      </c>
    </row>
    <row r="118" ht="19" customHeight="1">
      <c r="B118" s="14" t="inlineStr">
        <is>
          <t>Время t</t>
        </is>
      </c>
      <c r="C118" s="15" t="inlineStr">
        <is>
          <t>t</t>
        </is>
      </c>
      <c r="D118" s="15" t="inlineStr">
        <is>
          <t>Дано</t>
        </is>
      </c>
      <c r="E118" s="35" t="n">
        <v>100</v>
      </c>
      <c r="F118" s="17" t="inlineStr">
        <is>
          <t>ч</t>
        </is>
      </c>
      <c r="G118" s="34" t="inlineStr">
        <is>
          <t>t = 100 ч</t>
        </is>
      </c>
    </row>
    <row r="119" ht="20" customHeight="1">
      <c r="B119" s="10" t="inlineStr">
        <is>
          <t>а) Надежность цепи без резерва</t>
        </is>
      </c>
      <c r="C119" s="20" t="inlineStr">
        <is>
          <t>Pцепь_а</t>
        </is>
      </c>
      <c r="D119" s="36" t="inlineStr">
        <is>
          <t>Pc</t>
        </is>
      </c>
      <c r="E119" s="50">
        <f>E117</f>
        <v/>
      </c>
      <c r="F119" s="22" t="inlineStr">
        <is>
          <t>—</t>
        </is>
      </c>
      <c r="G119" s="38" t="inlineStr">
        <is>
          <t>Pцепь = 0.90</t>
        </is>
      </c>
    </row>
    <row r="120" ht="20" customHeight="1">
      <c r="B120" s="39" t="inlineStr">
        <is>
          <t>а) Допустимая интенсивность λдоп_а</t>
        </is>
      </c>
      <c r="C120" s="40" t="inlineStr">
        <is>
          <t>λдоп_а</t>
        </is>
      </c>
      <c r="D120" s="41" t="inlineStr">
        <is>
          <t>-LN(Pцепь_а)/(n*t)</t>
        </is>
      </c>
      <c r="E120" s="49">
        <f>-LN(E119)/(E116*E118)</f>
        <v/>
      </c>
      <c r="F120" s="43" t="inlineStr">
        <is>
          <t>1/ч</t>
        </is>
      </c>
      <c r="G120" s="44" t="inlineStr">
        <is>
          <t>λдоп = 2.634*10^-7 1/ч</t>
        </is>
      </c>
    </row>
    <row r="121" ht="20" customHeight="1">
      <c r="B121" s="10" t="inlineStr">
        <is>
          <t>б) Требуемая надежность цепи с дублированием</t>
        </is>
      </c>
      <c r="C121" s="20" t="inlineStr">
        <is>
          <t>Pцепь_б</t>
        </is>
      </c>
      <c r="D121" s="36" t="inlineStr">
        <is>
          <t>1 - SQRT(1 - Pc)</t>
        </is>
      </c>
      <c r="E121" s="50">
        <f>1-SQRT(1-E117)</f>
        <v/>
      </c>
      <c r="F121" s="22" t="inlineStr">
        <is>
          <t>—</t>
        </is>
      </c>
      <c r="G121" s="38" t="inlineStr">
        <is>
          <t>Pцепь = 0.68377</t>
        </is>
      </c>
    </row>
    <row r="122" ht="20" customHeight="1">
      <c r="B122" s="39" t="inlineStr">
        <is>
          <t>б) Допустимая интенсивность λдоп_б</t>
        </is>
      </c>
      <c r="C122" s="40" t="inlineStr">
        <is>
          <t>λдоп_б</t>
        </is>
      </c>
      <c r="D122" s="41" t="inlineStr">
        <is>
          <t>-LN(Pцепь_б)/(n*t)</t>
        </is>
      </c>
      <c r="E122" s="49">
        <f>-LN(E121)/(E116*E118)</f>
        <v/>
      </c>
      <c r="F122" s="43" t="inlineStr">
        <is>
          <t>1/ч</t>
        </is>
      </c>
      <c r="G122" s="44" t="inlineStr">
        <is>
          <t>λдоп = 9.504*10^-7 1/ч</t>
        </is>
      </c>
    </row>
    <row r="123" ht="20" customHeight="1">
      <c r="B123" s="10" t="inlineStr">
        <is>
          <t>Кратность выигрыша по требованиям</t>
        </is>
      </c>
      <c r="C123" s="20" t="inlineStr">
        <is>
          <t>К_выигр</t>
        </is>
      </c>
      <c r="D123" s="36" t="inlineStr">
        <is>
          <t>λдоп_б / λдоп_а</t>
        </is>
      </c>
      <c r="E123" s="52">
        <f>E122/E120</f>
        <v/>
      </c>
      <c r="F123" s="22" t="inlineStr">
        <is>
          <t>раз</t>
        </is>
      </c>
      <c r="G123" s="38" t="inlineStr">
        <is>
          <t>Смягчение в 3.61 раза</t>
        </is>
      </c>
    </row>
    <row r="124" ht="22" customHeight="1">
      <c r="B124" s="45" t="inlineStr">
        <is>
          <t>Инженерное заключение: Общее дублирование увеличивает допустимую интенсивность отказов элемента с 2.63*10^-7 до 9.50*10^-7 1/ч (в 3.61 раза).</t>
        </is>
      </c>
      <c r="C124" s="46" t="n"/>
      <c r="D124" s="46" t="n"/>
      <c r="E124" s="46" t="n"/>
      <c r="F124" s="46" t="n"/>
      <c r="G124" s="46" t="n"/>
    </row>
    <row r="127" ht="21" customHeight="1">
      <c r="B127" s="29" t="inlineStr">
        <is>
          <t>ЗАДАЧА № 13. СРАВНЕНИЕ СПОСОБОВ РЕЗЕРВИРОВАНИЯ ТРЕХБЛОЧНОЙ СИСТЕМЫ</t>
        </is>
      </c>
      <c r="C127" s="4" t="n"/>
      <c r="D127" s="4" t="n"/>
      <c r="E127" s="4" t="n"/>
      <c r="F127" s="4" t="n"/>
      <c r="G127" s="4" t="n"/>
    </row>
    <row r="128" ht="34" customHeight="1">
      <c r="B128" s="30" t="inlineStr">
        <is>
          <t>Постановка задачи: Устройство из 3 блоков, Py(t)&gt;=0.9. Найти Pбл: а) без резерва; б) при общем дублировании; в) при раздельном резервировании.</t>
        </is>
      </c>
      <c r="C128" s="31" t="n"/>
      <c r="D128" s="31" t="n"/>
      <c r="E128" s="31" t="n"/>
      <c r="F128" s="31" t="n"/>
      <c r="G128" s="31" t="n"/>
    </row>
    <row r="129" ht="20" customHeight="1">
      <c r="B129" s="32" t="inlineStr">
        <is>
          <t>Показатель / Этап расчета</t>
        </is>
      </c>
      <c r="C129" s="32" t="inlineStr">
        <is>
          <t>Символ</t>
        </is>
      </c>
      <c r="D129" s="32" t="inlineStr">
        <is>
          <t>Математическая модель</t>
        </is>
      </c>
      <c r="E129" s="32" t="inlineStr">
        <is>
          <t>Численное значение</t>
        </is>
      </c>
      <c r="F129" s="32" t="inlineStr">
        <is>
          <t>Ед.</t>
        </is>
      </c>
      <c r="G129" s="32" t="inlineStr">
        <is>
          <t>Характеристика параметра</t>
        </is>
      </c>
    </row>
    <row r="130" ht="19" customHeight="1">
      <c r="B130" s="14" t="inlineStr">
        <is>
          <t>Число блоков</t>
        </is>
      </c>
      <c r="C130" s="15" t="inlineStr">
        <is>
          <t>n</t>
        </is>
      </c>
      <c r="D130" s="15" t="inlineStr">
        <is>
          <t>Дано</t>
        </is>
      </c>
      <c r="E130" s="47" t="n">
        <v>3</v>
      </c>
      <c r="F130" s="17" t="inlineStr">
        <is>
          <t>шт.</t>
        </is>
      </c>
      <c r="G130" s="34" t="inlineStr">
        <is>
          <t>n = 3 блока</t>
        </is>
      </c>
    </row>
    <row r="131" ht="19" customHeight="1">
      <c r="B131" s="14" t="inlineStr">
        <is>
          <t>Требуемая вероятность устройства</t>
        </is>
      </c>
      <c r="C131" s="15" t="inlineStr">
        <is>
          <t>Py</t>
        </is>
      </c>
      <c r="D131" s="15" t="inlineStr">
        <is>
          <t>Дано</t>
        </is>
      </c>
      <c r="E131" s="51" t="n">
        <v>0.9</v>
      </c>
      <c r="F131" s="17" t="inlineStr">
        <is>
          <t>—</t>
        </is>
      </c>
      <c r="G131" s="34" t="inlineStr">
        <is>
          <t>Py &gt;= 0.90</t>
        </is>
      </c>
    </row>
    <row r="132" ht="20" customHeight="1">
      <c r="B132" s="39" t="inlineStr">
        <is>
          <t>а) Требуемая надежность блока без резерва</t>
        </is>
      </c>
      <c r="C132" s="40" t="inlineStr">
        <is>
          <t>Pбл_а</t>
        </is>
      </c>
      <c r="D132" s="41" t="inlineStr">
        <is>
          <t>Py^(1/n)</t>
        </is>
      </c>
      <c r="E132" s="42">
        <f>E131^(1/E130)</f>
        <v/>
      </c>
      <c r="F132" s="43" t="inlineStr">
        <is>
          <t>—</t>
        </is>
      </c>
      <c r="G132" s="44" t="inlineStr">
        <is>
          <t>Pбл = 0.9^(1/3) ≈ 0.96549</t>
        </is>
      </c>
    </row>
    <row r="133" ht="20" customHeight="1">
      <c r="B133" s="10" t="inlineStr">
        <is>
          <t>б) Требуемая надежность цепи с дублированием</t>
        </is>
      </c>
      <c r="C133" s="20" t="inlineStr">
        <is>
          <t>Pцепь_б</t>
        </is>
      </c>
      <c r="D133" s="36" t="inlineStr">
        <is>
          <t>1 - SQRT(1 - Py)</t>
        </is>
      </c>
      <c r="E133" s="50">
        <f>1-SQRT(1-E131)</f>
        <v/>
      </c>
      <c r="F133" s="22" t="inlineStr">
        <is>
          <t>—</t>
        </is>
      </c>
      <c r="G133" s="38" t="inlineStr">
        <is>
          <t>Pцепь = 1 - sqrt(0.1) ≈ 0.68377</t>
        </is>
      </c>
    </row>
    <row r="134" ht="20" customHeight="1">
      <c r="B134" s="39" t="inlineStr">
        <is>
          <t>б) Требуемая надежность блока при общем дублировании</t>
        </is>
      </c>
      <c r="C134" s="40" t="inlineStr">
        <is>
          <t>Pбл_б</t>
        </is>
      </c>
      <c r="D134" s="41" t="inlineStr">
        <is>
          <t>Pцепь_б^(1/n)</t>
        </is>
      </c>
      <c r="E134" s="42">
        <f>E133^(1/E130)</f>
        <v/>
      </c>
      <c r="F134" s="43" t="inlineStr">
        <is>
          <t>—</t>
        </is>
      </c>
      <c r="G134" s="44" t="inlineStr">
        <is>
          <t>Pбл = 0.68377^(1/3) ≈ 0.88099</t>
        </is>
      </c>
    </row>
    <row r="135" ht="20" customHeight="1">
      <c r="B135" s="10" t="inlineStr">
        <is>
          <t>в) Надежность дублированного блока</t>
        </is>
      </c>
      <c r="C135" s="20" t="inlineStr">
        <is>
          <t>Pдубл_в</t>
        </is>
      </c>
      <c r="D135" s="36" t="inlineStr">
        <is>
          <t>Py^(1/n)</t>
        </is>
      </c>
      <c r="E135" s="50">
        <f>E131^(1/E130)</f>
        <v/>
      </c>
      <c r="F135" s="22" t="inlineStr">
        <is>
          <t>—</t>
        </is>
      </c>
      <c r="G135" s="38" t="inlineStr">
        <is>
          <t>Pдубл = 0.96549</t>
        </is>
      </c>
    </row>
    <row r="136" ht="20" customHeight="1">
      <c r="B136" s="39" t="inlineStr">
        <is>
          <t>в) Требуемая надежность блока при раздельном дублировании</t>
        </is>
      </c>
      <c r="C136" s="40" t="inlineStr">
        <is>
          <t>Pбл_в</t>
        </is>
      </c>
      <c r="D136" s="41" t="inlineStr">
        <is>
          <t>1 - SQRT(1 - Pдубл_в)</t>
        </is>
      </c>
      <c r="E136" s="42">
        <f>1-SQRT(1-E135)</f>
        <v/>
      </c>
      <c r="F136" s="43" t="inlineStr">
        <is>
          <t>—</t>
        </is>
      </c>
      <c r="G136" s="44" t="inlineStr">
        <is>
          <t>Pбл = 1 - sqrt(1 - 0.96549) ≈ 0.81423</t>
        </is>
      </c>
    </row>
    <row r="137" ht="22" customHeight="1">
      <c r="B137" s="45" t="inlineStr">
        <is>
          <t>Инженерное заключение: Требуемая надежность компонента: без резерва 96.55%; при общем дублировании 88.10%; при раздельном дублировании 81.42%.</t>
        </is>
      </c>
      <c r="C137" s="46" t="n"/>
      <c r="D137" s="46" t="n"/>
      <c r="E137" s="46" t="n"/>
      <c r="F137" s="46" t="n"/>
      <c r="G137" s="46" t="n"/>
    </row>
    <row r="140" ht="21" customHeight="1">
      <c r="B140" s="29" t="inlineStr">
        <is>
          <t>ЗАДАЧА № 14. ПАССИВНОЕ ОБЩЕЕ ДУБЛИРОВАНИЕ ДВУХБЛОЧНОГО ВЫЧИСЛИТЕЛЯ</t>
        </is>
      </c>
      <c r="C140" s="4" t="n"/>
      <c r="D140" s="4" t="n"/>
      <c r="E140" s="4" t="n"/>
      <c r="F140" s="4" t="n"/>
      <c r="G140" s="4" t="n"/>
    </row>
    <row r="141" ht="34" customHeight="1">
      <c r="B141" s="30" t="inlineStr">
        <is>
          <t>Постановка задачи: Вычислитель из 2 блоков (λ1=120.54*10^-6, λ2=185.66*10^-6 1/ч). Пассивное общее дублирование. Найти Pc(20), mtc, fc(20), λc(20).</t>
        </is>
      </c>
      <c r="C141" s="31" t="n"/>
      <c r="D141" s="31" t="n"/>
      <c r="E141" s="31" t="n"/>
      <c r="F141" s="31" t="n"/>
      <c r="G141" s="31" t="n"/>
    </row>
    <row r="142" ht="20" customHeight="1">
      <c r="B142" s="32" t="inlineStr">
        <is>
          <t>Показатель / Этап расчета</t>
        </is>
      </c>
      <c r="C142" s="32" t="inlineStr">
        <is>
          <t>Символ</t>
        </is>
      </c>
      <c r="D142" s="32" t="inlineStr">
        <is>
          <t>Математическая модель</t>
        </is>
      </c>
      <c r="E142" s="32" t="inlineStr">
        <is>
          <t>Численное значение</t>
        </is>
      </c>
      <c r="F142" s="32" t="inlineStr">
        <is>
          <t>Ед.</t>
        </is>
      </c>
      <c r="G142" s="32" t="inlineStr">
        <is>
          <t>Характеристика параметра</t>
        </is>
      </c>
    </row>
    <row r="143" ht="19" customHeight="1">
      <c r="B143" s="14" t="inlineStr">
        <is>
          <t>Интенсивность блока 1</t>
        </is>
      </c>
      <c r="C143" s="15" t="inlineStr">
        <is>
          <t>λ1</t>
        </is>
      </c>
      <c r="D143" s="15" t="inlineStr">
        <is>
          <t>Дано</t>
        </is>
      </c>
      <c r="E143" s="33" t="n">
        <v>0.00012054</v>
      </c>
      <c r="F143" s="17" t="inlineStr">
        <is>
          <t>1/ч</t>
        </is>
      </c>
      <c r="G143" s="34" t="inlineStr">
        <is>
          <t>λ1 = 120.54*10^-6 1/ч</t>
        </is>
      </c>
    </row>
    <row r="144" ht="19" customHeight="1">
      <c r="B144" s="14" t="inlineStr">
        <is>
          <t>Интенсивность блока 2</t>
        </is>
      </c>
      <c r="C144" s="15" t="inlineStr">
        <is>
          <t>λ2</t>
        </is>
      </c>
      <c r="D144" s="15" t="inlineStr">
        <is>
          <t>Дано</t>
        </is>
      </c>
      <c r="E144" s="33" t="n">
        <v>0.00018566</v>
      </c>
      <c r="F144" s="17" t="inlineStr">
        <is>
          <t>1/ч</t>
        </is>
      </c>
      <c r="G144" s="34" t="inlineStr">
        <is>
          <t>λ2 = 185.66*10^-6 1/ч</t>
        </is>
      </c>
    </row>
    <row r="145" ht="19" customHeight="1">
      <c r="B145" s="14" t="inlineStr">
        <is>
          <t>Время работы t</t>
        </is>
      </c>
      <c r="C145" s="15" t="inlineStr">
        <is>
          <t>t</t>
        </is>
      </c>
      <c r="D145" s="15" t="inlineStr">
        <is>
          <t>Дано</t>
        </is>
      </c>
      <c r="E145" s="35" t="n">
        <v>20</v>
      </c>
      <c r="F145" s="17" t="inlineStr">
        <is>
          <t>ч</t>
        </is>
      </c>
      <c r="G145" s="34" t="inlineStr">
        <is>
          <t>Контрольная наработка t = 20 ч</t>
        </is>
      </c>
    </row>
    <row r="146" ht="20" customHeight="1">
      <c r="B146" s="10" t="inlineStr">
        <is>
          <t>Суммарная интенсивность вычислителя</t>
        </is>
      </c>
      <c r="C146" s="20" t="inlineStr">
        <is>
          <t>λ0</t>
        </is>
      </c>
      <c r="D146" s="36" t="inlineStr">
        <is>
          <t>λ1 + λ2</t>
        </is>
      </c>
      <c r="E146" s="37">
        <f>E143+E144</f>
        <v/>
      </c>
      <c r="F146" s="22" t="inlineStr">
        <is>
          <t>1/ч</t>
        </is>
      </c>
      <c r="G146" s="38" t="inlineStr">
        <is>
          <t>λ0 = 306.2*10^-6 1/ч</t>
        </is>
      </c>
    </row>
    <row r="147" ht="20" customHeight="1">
      <c r="B147" s="39" t="inlineStr">
        <is>
          <t>Средняя наработка вычислителя mtc</t>
        </is>
      </c>
      <c r="C147" s="40" t="inlineStr">
        <is>
          <t>mtc</t>
        </is>
      </c>
      <c r="D147" s="41" t="inlineStr">
        <is>
          <t>1.5 / λ0</t>
        </is>
      </c>
      <c r="E147" s="48">
        <f>1.5/E146</f>
        <v/>
      </c>
      <c r="F147" s="43" t="inlineStr">
        <is>
          <t>ч</t>
        </is>
      </c>
      <c r="G147" s="44" t="inlineStr">
        <is>
          <t>mtc = 1.5 / 0.0003062 = 4898.76 ч</t>
        </is>
      </c>
    </row>
    <row r="148" ht="20" customHeight="1">
      <c r="B148" s="39" t="inlineStr">
        <is>
          <t>Вероятность работы Pc(20)</t>
        </is>
      </c>
      <c r="C148" s="40" t="inlineStr">
        <is>
          <t>Pc(20)</t>
        </is>
      </c>
      <c r="D148" s="41" t="inlineStr">
        <is>
          <t>1 - (1 - EXP(-λ0*t))^2</t>
        </is>
      </c>
      <c r="E148" s="53">
        <f>1-(1-EXP(-E146*E145))^2</f>
        <v/>
      </c>
      <c r="F148" s="43" t="inlineStr">
        <is>
          <t>—</t>
        </is>
      </c>
      <c r="G148" s="44" t="inlineStr">
        <is>
          <t>Pc(20) ≈ 0.999963</t>
        </is>
      </c>
    </row>
    <row r="149" ht="20" customHeight="1">
      <c r="B149" s="39" t="inlineStr">
        <is>
          <t>Частота отказов fc(20)</t>
        </is>
      </c>
      <c r="C149" s="40" t="inlineStr">
        <is>
          <t>fc(20)</t>
        </is>
      </c>
      <c r="D149" s="41" t="inlineStr">
        <is>
          <t>2*λ0*EXP(-λ0*t)*(1-EXP(-λ0*t))</t>
        </is>
      </c>
      <c r="E149" s="49">
        <f>2*E146*EXP(-E146*E145)*(1-EXP(-E146*E145))</f>
        <v/>
      </c>
      <c r="F149" s="43" t="inlineStr">
        <is>
          <t>1/ч</t>
        </is>
      </c>
      <c r="G149" s="44" t="inlineStr">
        <is>
          <t>fc(20) ≈ 3.71*10^-6 1/ч</t>
        </is>
      </c>
    </row>
    <row r="150" ht="20" customHeight="1">
      <c r="B150" s="39" t="inlineStr">
        <is>
          <t>Интенсивность отказов λc(20)</t>
        </is>
      </c>
      <c r="C150" s="40" t="inlineStr">
        <is>
          <t>λc(20)</t>
        </is>
      </c>
      <c r="D150" s="41" t="inlineStr">
        <is>
          <t>fc(20) / Pc(20)</t>
        </is>
      </c>
      <c r="E150" s="49">
        <f>E149/E148</f>
        <v/>
      </c>
      <c r="F150" s="43" t="inlineStr">
        <is>
          <t>1/ч</t>
        </is>
      </c>
      <c r="G150" s="44" t="inlineStr">
        <is>
          <t>λc(20) ≈ 3.71*10^-6 1/ч</t>
        </is>
      </c>
    </row>
    <row r="151" ht="19" customHeight="1">
      <c r="B151" s="45" t="inlineStr">
        <is>
          <t>Инженерное заключение: mtc = 4898.76 ч; при t=20 ч вероятность безотказной работы составляет 99.9963%.</t>
        </is>
      </c>
      <c r="C151" s="46" t="n"/>
      <c r="D151" s="46" t="n"/>
      <c r="E151" s="46" t="n"/>
      <c r="F151" s="46" t="n"/>
      <c r="G151" s="46" t="n"/>
    </row>
  </sheetData>
  <mergeCells count="36">
    <mergeCell ref="B2:G2"/>
    <mergeCell ref="B151:G151"/>
    <mergeCell ref="B60:G60"/>
    <mergeCell ref="B73:G73"/>
    <mergeCell ref="B88:G88"/>
    <mergeCell ref="B44:G44"/>
    <mergeCell ref="B69:G69"/>
    <mergeCell ref="B19:G19"/>
    <mergeCell ref="B34:G34"/>
    <mergeCell ref="B103:G103"/>
    <mergeCell ref="B99:G99"/>
    <mergeCell ref="B137:G137"/>
    <mergeCell ref="B128:G128"/>
    <mergeCell ref="B127:G127"/>
    <mergeCell ref="B30:G30"/>
    <mergeCell ref="B33:G33"/>
    <mergeCell ref="B124:G124"/>
    <mergeCell ref="B6:G6"/>
    <mergeCell ref="B20:G20"/>
    <mergeCell ref="B89:G89"/>
    <mergeCell ref="B85:G85"/>
    <mergeCell ref="B114:G114"/>
    <mergeCell ref="B110:G110"/>
    <mergeCell ref="B4:G4"/>
    <mergeCell ref="B113:G113"/>
    <mergeCell ref="B7:G7"/>
    <mergeCell ref="B72:G72"/>
    <mergeCell ref="B3:G3"/>
    <mergeCell ref="B16:G16"/>
    <mergeCell ref="B47:G47"/>
    <mergeCell ref="B141:G141"/>
    <mergeCell ref="B59:G59"/>
    <mergeCell ref="B102:G102"/>
    <mergeCell ref="B140:G140"/>
    <mergeCell ref="B56:G56"/>
    <mergeCell ref="B48:G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8" customWidth="1" min="4" max="4"/>
    <col width="18" customWidth="1" min="5" max="5"/>
    <col width="12" customWidth="1" min="6" max="6"/>
    <col width="42" customWidth="1" min="7" max="7"/>
  </cols>
  <sheetData>
    <row r="2" ht="25" customHeight="1">
      <c r="B2" s="1" t="inlineStr">
        <is>
          <t>СПРАВОЧНИК МАТЕМАТИЧЕСКИХ МОДЕЛЕЙ НАДЕЖНОСТИ (ПРАКТИКА № 4)</t>
        </is>
      </c>
      <c r="C2" s="2" t="n"/>
      <c r="D2" s="2" t="n"/>
      <c r="E2" s="2" t="n"/>
      <c r="F2" s="2" t="n"/>
      <c r="G2" s="2" t="n"/>
    </row>
    <row r="3" ht="19" customHeight="1">
      <c r="B3" s="3" t="inlineStr">
        <is>
          <t>Аналитические зависимости теории постоянного резервирования (Раздел 4.1)</t>
        </is>
      </c>
      <c r="C3" s="4" t="n"/>
      <c r="D3" s="4" t="n"/>
      <c r="E3" s="4" t="n"/>
      <c r="F3" s="4" t="n"/>
      <c r="G3" s="4" t="n"/>
    </row>
    <row r="4" ht="17" customHeight="1">
      <c r="B4" s="5" t="inlineStr">
        <is>
          <t>Для инженерных расчетов систем автоматики и управления</t>
        </is>
      </c>
      <c r="C4" s="4" t="n"/>
      <c r="D4" s="4" t="n"/>
      <c r="E4" s="4" t="n"/>
      <c r="F4" s="4" t="n"/>
      <c r="G4" s="4" t="n"/>
    </row>
    <row r="6" ht="21" customHeight="1">
      <c r="B6" s="29" t="inlineStr">
        <is>
          <t>1. Постоянное резервирование (нагруженный резерв)</t>
        </is>
      </c>
      <c r="C6" s="4" t="n"/>
      <c r="D6" s="4" t="n"/>
      <c r="E6" s="4" t="n"/>
      <c r="F6" s="4" t="n"/>
      <c r="G6" s="4" t="n"/>
    </row>
    <row r="7" ht="22" customHeight="1">
      <c r="B7" s="54" t="inlineStr">
        <is>
          <t>Физический смысл</t>
        </is>
      </c>
      <c r="C7" s="55" t="inlineStr">
        <is>
          <t>Резервные элементы подключены постоянно и работают в таком же режиме, как и основные.</t>
        </is>
      </c>
      <c r="D7" s="9" t="n"/>
      <c r="E7" s="9" t="n"/>
      <c r="F7" s="9" t="n"/>
      <c r="G7" s="9" t="n"/>
    </row>
    <row r="8" ht="19" customHeight="1">
      <c r="B8" s="54" t="inlineStr">
        <is>
          <t>Вероятность отказа</t>
        </is>
      </c>
      <c r="C8" s="55" t="inlineStr">
        <is>
          <t>qc(t) = Произведение(1 - Pj(t)) = (1 - P(t))^(m+1) при равнонадежных цепях.</t>
        </is>
      </c>
      <c r="D8" s="9" t="n"/>
      <c r="E8" s="9" t="n"/>
      <c r="F8" s="9" t="n"/>
      <c r="G8" s="9" t="n"/>
    </row>
    <row r="9" ht="19" customHeight="1">
      <c r="B9" s="54" t="inlineStr">
        <is>
          <t>Вероятность безотказной работы</t>
        </is>
      </c>
      <c r="C9" s="55" t="inlineStr">
        <is>
          <t>Pc(t) = 1 - (1 - P(t))^(m+1). При m=1 (дублирование): Pc(t) = 2P(t) - P^2(t).</t>
        </is>
      </c>
      <c r="D9" s="9" t="n"/>
      <c r="E9" s="9" t="n"/>
      <c r="F9" s="9" t="n"/>
      <c r="G9" s="9" t="n"/>
    </row>
    <row r="10" ht="19" customHeight="1">
      <c r="B10" s="54" t="inlineStr">
        <is>
          <t>Экспоненциальная модель</t>
        </is>
      </c>
      <c r="C10" s="55" t="inlineStr">
        <is>
          <t>Pc(t) = 2*exp(-λ0*t) - exp(-2*λ0*t), где λ0 - интенсивность цепи.</t>
        </is>
      </c>
      <c r="D10" s="9" t="n"/>
      <c r="E10" s="9" t="n"/>
      <c r="F10" s="9" t="n"/>
      <c r="G10" s="9" t="n"/>
    </row>
    <row r="12" ht="21" customHeight="1">
      <c r="B12" s="29" t="inlineStr">
        <is>
          <t>2. Количественные показатели надежности</t>
        </is>
      </c>
      <c r="C12" s="4" t="n"/>
      <c r="D12" s="4" t="n"/>
      <c r="E12" s="4" t="n"/>
      <c r="F12" s="4" t="n"/>
      <c r="G12" s="4" t="n"/>
    </row>
    <row r="13" ht="19" customHeight="1">
      <c r="B13" s="54" t="inlineStr">
        <is>
          <t>Средняя наработка mtc (m=1)</t>
        </is>
      </c>
      <c r="C13" s="55" t="inlineStr">
        <is>
          <t>mtc = 1.5 * T0 = 1.5 / λ0 (выигрыш в 1.5 раза относительно цепи).</t>
        </is>
      </c>
      <c r="D13" s="9" t="n"/>
      <c r="E13" s="9" t="n"/>
      <c r="F13" s="9" t="n"/>
      <c r="G13" s="9" t="n"/>
    </row>
    <row r="14" ht="19" customHeight="1">
      <c r="B14" s="54" t="inlineStr">
        <is>
          <t>Средняя наработка mtc (кратность m)</t>
        </is>
      </c>
      <c r="C14" s="55" t="inlineStr">
        <is>
          <t>mtc = (1/λ0) * (1 + 1/2 + ... + 1/(m+1)).</t>
        </is>
      </c>
      <c r="D14" s="9" t="n"/>
      <c r="E14" s="9" t="n"/>
      <c r="F14" s="9" t="n"/>
      <c r="G14" s="9" t="n"/>
    </row>
    <row r="15" ht="19" customHeight="1">
      <c r="B15" s="54" t="inlineStr">
        <is>
          <t>Частота отказов fc(t)</t>
        </is>
      </c>
      <c r="C15" s="55" t="inlineStr">
        <is>
          <t>fc(t) = 2*λ0*exp(-λ0*t)*(1 - exp(-λ0*t)).</t>
        </is>
      </c>
      <c r="D15" s="9" t="n"/>
      <c r="E15" s="9" t="n"/>
      <c r="F15" s="9" t="n"/>
      <c r="G15" s="9" t="n"/>
    </row>
    <row r="16" ht="19" customHeight="1">
      <c r="B16" s="54" t="inlineStr">
        <is>
          <t>Интенсивность отказов λc(t)</t>
        </is>
      </c>
      <c r="C16" s="55" t="inlineStr">
        <is>
          <t>λc(t) = 2*λ0*(1 - exp(-λ0*t)) / (2 - exp(-λ0*t)). При t=0 λc=0.</t>
        </is>
      </c>
      <c r="D16" s="9" t="n"/>
      <c r="E16" s="9" t="n"/>
      <c r="F16" s="9" t="n"/>
      <c r="G16" s="9" t="n"/>
    </row>
    <row r="18" ht="21" customHeight="1">
      <c r="B18" s="29" t="inlineStr">
        <is>
          <t>3. Эффективность резервирования</t>
        </is>
      </c>
      <c r="C18" s="4" t="n"/>
      <c r="D18" s="4" t="n"/>
      <c r="E18" s="4" t="n"/>
      <c r="F18" s="4" t="n"/>
      <c r="G18" s="4" t="n"/>
    </row>
    <row r="19" ht="19" customHeight="1">
      <c r="B19" s="54" t="inlineStr">
        <is>
          <t>Общее резервирование</t>
        </is>
      </c>
      <c r="C19" s="55" t="inlineStr">
        <is>
          <t>Резервируется вся система в целом: Pобщ = 1 - (1 - Pсист)^2.</t>
        </is>
      </c>
      <c r="D19" s="9" t="n"/>
      <c r="E19" s="9" t="n"/>
      <c r="F19" s="9" t="n"/>
      <c r="G19" s="9" t="n"/>
    </row>
    <row r="20" ht="19" customHeight="1">
      <c r="B20" s="54" t="inlineStr">
        <is>
          <t>Раздельное резервирование</t>
        </is>
      </c>
      <c r="C20" s="55" t="inlineStr">
        <is>
          <t>Резервируется каждый блок отдельно: Pразд = [1 - (1 - Pбл)^2]^n.</t>
        </is>
      </c>
      <c r="D20" s="9" t="n"/>
      <c r="E20" s="9" t="n"/>
      <c r="F20" s="9" t="n"/>
      <c r="G20" s="9" t="n"/>
    </row>
    <row r="21" ht="22" customHeight="1">
      <c r="B21" s="54" t="inlineStr">
        <is>
          <t>Сравнение</t>
        </is>
      </c>
      <c r="C21" s="55" t="inlineStr">
        <is>
          <t>Раздельное резервирование существенно надежнее общего при одинаковом расходе аппаратуры.</t>
        </is>
      </c>
      <c r="D21" s="9" t="n"/>
      <c r="E21" s="9" t="n"/>
      <c r="F21" s="9" t="n"/>
      <c r="G21" s="9" t="n"/>
    </row>
  </sheetData>
  <mergeCells count="17">
    <mergeCell ref="B3:G3"/>
    <mergeCell ref="B2:G2"/>
    <mergeCell ref="C7:G7"/>
    <mergeCell ref="C21:G21"/>
    <mergeCell ref="C20:G20"/>
    <mergeCell ref="C10:G10"/>
    <mergeCell ref="C16:G16"/>
    <mergeCell ref="C15:G15"/>
    <mergeCell ref="B4:G4"/>
    <mergeCell ref="C19:G19"/>
    <mergeCell ref="B12:G12"/>
    <mergeCell ref="C14:G14"/>
    <mergeCell ref="B18:G18"/>
    <mergeCell ref="C13:G13"/>
    <mergeCell ref="C8:G8"/>
    <mergeCell ref="C9:G9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2026-10-22T18:04:34Z</dcterms:created>
  <dcterms:modified xmlns:dcterms="http://purl.org/dc/terms/" xmlns:xsi="http://www.w3.org/2001/XMLSchema-instance" xsi:type="dcterms:W3CDTF">2026-10-22T18:04:34Z</dcterms:modified>
</cp:coreProperties>
</file>