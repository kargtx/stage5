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 2 (Задачи 6-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E8F5E9"/>
      <sz val="10"/>
    </font>
    <font>
      <name val="Calibri"/>
      <i val="1"/>
      <color rgb="00E8F5E9"/>
      <sz val="9"/>
    </font>
    <font>
      <name val="Calibri"/>
      <b val="1"/>
      <color rgb="001E4D2B"/>
      <sz val="11"/>
    </font>
    <font>
      <name val="Calibri"/>
      <b val="1"/>
      <color rgb="00FFFFFF"/>
      <sz val="10"/>
    </font>
    <font>
      <name val="Calibri"/>
      <i val="1"/>
      <color rgb="004A4A4A"/>
      <sz val="9"/>
    </font>
    <font>
      <name val="Calibri"/>
      <b val="1"/>
      <color rgb="00202020"/>
      <sz val="10"/>
    </font>
    <font>
      <name val="Calibri"/>
      <b val="1"/>
      <color rgb="00FFFFFF"/>
      <sz val="9"/>
    </font>
    <font>
      <name val="Calibri"/>
      <color rgb="00202020"/>
      <sz val="10"/>
    </font>
    <font>
      <name val="Calibri"/>
      <i val="1"/>
      <color rgb="001E4D2B"/>
      <sz val="9"/>
    </font>
    <font>
      <name val="Calibri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00234E35"/>
        <bgColor rgb="00234E35"/>
      </patternFill>
    </fill>
    <fill>
      <patternFill patternType="solid">
        <fgColor rgb="002E6930"/>
        <bgColor rgb="002E6930"/>
      </patternFill>
    </fill>
    <fill>
      <patternFill patternType="solid">
        <fgColor rgb="003B7A40"/>
        <bgColor rgb="003B7A40"/>
      </patternFill>
    </fill>
    <fill>
      <patternFill patternType="solid">
        <fgColor rgb="00E8F2EA"/>
        <bgColor rgb="00E8F2EA"/>
      </patternFill>
    </fill>
    <fill>
      <patternFill patternType="solid">
        <fgColor rgb="00D4EDDA"/>
        <bgColor rgb="00D4EDDA"/>
      </patternFill>
    </fill>
    <fill>
      <patternFill patternType="solid">
        <fgColor rgb="00E8F5E9"/>
        <bgColor rgb="00E8F5E9"/>
      </patternFill>
    </fill>
    <fill>
      <patternFill patternType="solid">
        <fgColor rgb="00F5F9F6"/>
        <bgColor rgb="00F5F9F6"/>
      </patternFill>
    </fill>
  </fills>
  <borders count="4">
    <border>
      <left/>
      <right/>
      <top/>
      <bottom/>
      <diagonal/>
    </border>
    <border>
      <left style="thin">
        <color rgb="00C8D6CB"/>
      </left>
      <right style="thin">
        <color rgb="00C8D6CB"/>
      </right>
      <top style="thin">
        <color rgb="00C8D6CB"/>
      </top>
      <bottom style="thin">
        <color rgb="00C8D6CB"/>
      </bottom>
    </border>
    <border>
      <left style="thin">
        <color rgb="002E6930"/>
      </left>
      <right style="thin">
        <color rgb="002E6930"/>
      </right>
      <top style="thin">
        <color rgb="002E6930"/>
      </top>
      <bottom style="thin">
        <color rgb="002E6930"/>
      </bottom>
    </border>
    <border>
      <left style="thin">
        <color rgb="00C8D6CB"/>
      </left>
      <right style="thin">
        <color rgb="00C8D6CB"/>
      </right>
      <top style="thin">
        <color rgb="00C8D6CB"/>
      </top>
      <bottom style="double">
        <color rgb="002E693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4" fontId="11" fillId="6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5" fontId="11" fillId="6" borderId="2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2" fontId="11" fillId="6" borderId="2" applyAlignment="1" pivotButton="0" quotePrefix="0" xfId="0">
      <alignment horizontal="right" vertical="center"/>
    </xf>
    <xf numFmtId="11" fontId="11" fillId="6" borderId="2" applyAlignment="1" pivotButton="0" quotePrefix="0" xfId="0">
      <alignment horizontal="right" vertical="center"/>
    </xf>
    <xf numFmtId="3" fontId="11" fillId="6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0" borderId="1" pivotButton="0" quotePrefix="0" xfId="0"/>
    <xf numFmtId="3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7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1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7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11" fillId="6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4" customWidth="1" min="4" max="4"/>
    <col width="22" customWidth="1" min="5" max="5"/>
    <col width="16" customWidth="1" min="6" max="6"/>
    <col width="12" customWidth="1" min="7" max="7"/>
  </cols>
  <sheetData>
    <row r="2" ht="24" customHeight="1">
      <c r="B2" s="1" t="inlineStr">
        <is>
          <t>ПРАКТИЧЕСКАЯ РАБОТА № 2</t>
        </is>
      </c>
      <c r="C2" s="2" t="n"/>
      <c r="D2" s="2" t="n"/>
      <c r="E2" s="2" t="n"/>
      <c r="F2" s="2" t="n"/>
    </row>
    <row r="3" ht="18" customHeight="1">
      <c r="B3" s="3" t="inlineStr">
        <is>
          <t>Аналитическое определение количественных характеристик надежности изделия</t>
        </is>
      </c>
      <c r="C3" s="4" t="n"/>
      <c r="D3" s="4" t="n"/>
      <c r="E3" s="4" t="n"/>
      <c r="F3" s="4" t="n"/>
    </row>
    <row r="4" ht="18" customHeight="1">
      <c r="B4" s="5" t="inlineStr">
        <is>
          <t>Выполнил: студент Гарифуллин  |  Дисциплина: Надежность автоматизированных систем</t>
        </is>
      </c>
      <c r="C4" s="4" t="n"/>
      <c r="D4" s="4" t="n"/>
      <c r="E4" s="4" t="n"/>
      <c r="F4" s="4" t="n"/>
    </row>
    <row r="6" ht="20" customHeight="1">
      <c r="B6" s="6" t="inlineStr">
        <is>
          <t>Сводные результаты решения задач (№ 6 – 12)</t>
        </is>
      </c>
    </row>
    <row r="7" ht="22" customHeight="1">
      <c r="B7" s="7" t="inlineStr">
        <is>
          <t>№ задачи</t>
        </is>
      </c>
      <c r="C7" s="7" t="inlineStr">
        <is>
          <t>Краткое описание</t>
        </is>
      </c>
      <c r="D7" s="7" t="inlineStr">
        <is>
          <t>Параметр</t>
        </is>
      </c>
      <c r="E7" s="7" t="inlineStr">
        <is>
          <t>Формула</t>
        </is>
      </c>
      <c r="F7" s="7" t="inlineStr">
        <is>
          <t>Результат</t>
        </is>
      </c>
      <c r="G7" s="7" t="inlineStr">
        <is>
          <t>Ед. изм.</t>
        </is>
      </c>
    </row>
    <row r="8" ht="19" customHeight="1">
      <c r="B8" s="8" t="inlineStr">
        <is>
          <t>Задание 6</t>
        </is>
      </c>
      <c r="C8" s="9" t="inlineStr">
        <is>
          <t>L1=460 ч, t=800 ч. Интенсивность отказов</t>
        </is>
      </c>
      <c r="D8" s="8" t="inlineStr">
        <is>
          <t>λ(800)</t>
        </is>
      </c>
      <c r="E8" s="10" t="inlineStr">
        <is>
          <t>λ = 1 / L1</t>
        </is>
      </c>
      <c r="F8" s="11">
        <f>E40</f>
        <v/>
      </c>
      <c r="G8" s="12" t="inlineStr">
        <is>
          <t>1/ч</t>
        </is>
      </c>
    </row>
    <row r="9" ht="19" customHeight="1">
      <c r="B9" s="13" t="inlineStr">
        <is>
          <t>Задание 6</t>
        </is>
      </c>
      <c r="C9" s="14" t="inlineStr">
        <is>
          <t>L1=460 ч, t=800 ч. Вероятность безотказной работы</t>
        </is>
      </c>
      <c r="D9" s="13" t="inlineStr">
        <is>
          <t>P(800)</t>
        </is>
      </c>
      <c r="E9" s="15" t="inlineStr">
        <is>
          <t>P = exp(-λ·t)</t>
        </is>
      </c>
      <c r="F9" s="16">
        <f>E41</f>
        <v/>
      </c>
      <c r="G9" s="17" t="inlineStr">
        <is>
          <t>—</t>
        </is>
      </c>
    </row>
    <row r="10" ht="19" customHeight="1">
      <c r="B10" s="8" t="inlineStr">
        <is>
          <t>Задание 6</t>
        </is>
      </c>
      <c r="C10" s="9" t="inlineStr">
        <is>
          <t>L1=460 ч, t=800 ч. Частота отказов</t>
        </is>
      </c>
      <c r="D10" s="8" t="inlineStr">
        <is>
          <t>f(800)</t>
        </is>
      </c>
      <c r="E10" s="10" t="inlineStr">
        <is>
          <t>f = λ · P(t)</t>
        </is>
      </c>
      <c r="F10" s="11">
        <f>E42</f>
        <v/>
      </c>
      <c r="G10" s="12" t="inlineStr">
        <is>
          <t>1/ч</t>
        </is>
      </c>
    </row>
    <row r="11" ht="19" customHeight="1">
      <c r="B11" s="13" t="inlineStr">
        <is>
          <t>Задание 7</t>
        </is>
      </c>
      <c r="C11" s="14" t="inlineStr">
        <is>
          <t>6000 элементов, λср=0.2·10⁻⁶ ч⁻¹, T=50 ч</t>
        </is>
      </c>
      <c r="D11" s="13" t="inlineStr">
        <is>
          <t>Pc(50)</t>
        </is>
      </c>
      <c r="E11" s="15" t="inlineStr">
        <is>
          <t>Pc = exp(-λc·T)</t>
        </is>
      </c>
      <c r="F11" s="16">
        <f>E57</f>
        <v/>
      </c>
      <c r="G11" s="17" t="inlineStr">
        <is>
          <t>—</t>
        </is>
      </c>
    </row>
    <row r="12" ht="19" customHeight="1">
      <c r="B12" s="8" t="inlineStr">
        <is>
          <t>Задание 7</t>
        </is>
      </c>
      <c r="C12" s="9" t="inlineStr">
        <is>
          <t>6000 элементов, λср=0.2·10⁻⁶ ч⁻¹, T=50 ч</t>
        </is>
      </c>
      <c r="D12" s="8" t="inlineStr">
        <is>
          <t>mtc</t>
        </is>
      </c>
      <c r="E12" s="10" t="inlineStr">
        <is>
          <t>mtc = 1 / λc</t>
        </is>
      </c>
      <c r="F12" s="18">
        <f>E58</f>
        <v/>
      </c>
      <c r="G12" s="12" t="inlineStr">
        <is>
          <t>ч</t>
        </is>
      </c>
    </row>
    <row r="13" ht="19" customHeight="1">
      <c r="B13" s="13" t="inlineStr">
        <is>
          <t>Задание 8</t>
        </is>
      </c>
      <c r="C13" s="14" t="inlineStr">
        <is>
          <t>5000 элементов, λср=0.3·10⁻⁶ ч⁻¹, T=120 ч</t>
        </is>
      </c>
      <c r="D13" s="13" t="inlineStr">
        <is>
          <t>Pc(120)</t>
        </is>
      </c>
      <c r="E13" s="15" t="inlineStr">
        <is>
          <t>Pc = exp(-λc·T)</t>
        </is>
      </c>
      <c r="F13" s="16">
        <f>E73</f>
        <v/>
      </c>
      <c r="G13" s="17" t="inlineStr">
        <is>
          <t>—</t>
        </is>
      </c>
    </row>
    <row r="14" ht="19" customHeight="1">
      <c r="B14" s="8" t="inlineStr">
        <is>
          <t>Задание 8</t>
        </is>
      </c>
      <c r="C14" s="9" t="inlineStr">
        <is>
          <t>5000 элементов, λср=0.3·10⁻⁶ ч⁻¹, T=120 ч</t>
        </is>
      </c>
      <c r="D14" s="8" t="inlineStr">
        <is>
          <t>mtc</t>
        </is>
      </c>
      <c r="E14" s="10" t="inlineStr">
        <is>
          <t>mtc = 1 / λc</t>
        </is>
      </c>
      <c r="F14" s="18">
        <f>E74</f>
        <v/>
      </c>
      <c r="G14" s="12" t="inlineStr">
        <is>
          <t>ч</t>
        </is>
      </c>
    </row>
    <row r="15" ht="19" customHeight="1">
      <c r="B15" s="13" t="inlineStr">
        <is>
          <t>Задание 9</t>
        </is>
      </c>
      <c r="C15" s="14" t="inlineStr">
        <is>
          <t>200000 элементов, λср=0.3·10⁻⁶ ч⁻¹, сутки (t=24 ч)</t>
        </is>
      </c>
      <c r="D15" s="13" t="inlineStr">
        <is>
          <t>Pc(24)</t>
        </is>
      </c>
      <c r="E15" s="15" t="inlineStr">
        <is>
          <t>Pc = exp(-λc·t)</t>
        </is>
      </c>
      <c r="F15" s="16">
        <f>E89</f>
        <v/>
      </c>
      <c r="G15" s="17" t="inlineStr">
        <is>
          <t>—</t>
        </is>
      </c>
    </row>
    <row r="16" ht="19" customHeight="1">
      <c r="B16" s="8" t="inlineStr">
        <is>
          <t>Задание 9</t>
        </is>
      </c>
      <c r="C16" s="9" t="inlineStr">
        <is>
          <t>200000 элементов, λср=0.3·10⁻⁶ ч⁻¹, сутки (t=24 ч)</t>
        </is>
      </c>
      <c r="D16" s="8" t="inlineStr">
        <is>
          <t>mtc</t>
        </is>
      </c>
      <c r="E16" s="10" t="inlineStr">
        <is>
          <t>mtc = 1 / λc</t>
        </is>
      </c>
      <c r="F16" s="18">
        <f>E90</f>
        <v/>
      </c>
      <c r="G16" s="12" t="inlineStr">
        <is>
          <t>ч</t>
        </is>
      </c>
    </row>
    <row r="17" ht="19" customHeight="1">
      <c r="B17" s="13" t="inlineStr">
        <is>
          <t>Задание 10</t>
        </is>
      </c>
      <c r="C17" s="14" t="inlineStr">
        <is>
          <t>12600 элементов, λср=0.32·10⁻⁶ ч⁻¹, t=50 ч</t>
        </is>
      </c>
      <c r="D17" s="13" t="inlineStr">
        <is>
          <t>Pc(50)</t>
        </is>
      </c>
      <c r="E17" s="15" t="inlineStr">
        <is>
          <t>Pc = exp(-λc·t)</t>
        </is>
      </c>
      <c r="F17" s="16">
        <f>E105</f>
        <v/>
      </c>
      <c r="G17" s="17" t="inlineStr">
        <is>
          <t>—</t>
        </is>
      </c>
    </row>
    <row r="18" ht="19" customHeight="1">
      <c r="B18" s="8" t="inlineStr">
        <is>
          <t>Задание 10</t>
        </is>
      </c>
      <c r="C18" s="9" t="inlineStr">
        <is>
          <t>12600 элементов, λср=0.32·10⁻⁶ ч⁻¹, t=50 ч</t>
        </is>
      </c>
      <c r="D18" s="8" t="inlineStr">
        <is>
          <t>qc(50)</t>
        </is>
      </c>
      <c r="E18" s="10" t="inlineStr">
        <is>
          <t>qc = 1 - Pc</t>
        </is>
      </c>
      <c r="F18" s="16">
        <f>E106</f>
        <v/>
      </c>
      <c r="G18" s="12" t="inlineStr">
        <is>
          <t>—</t>
        </is>
      </c>
    </row>
    <row r="19" ht="19" customHeight="1">
      <c r="B19" s="13" t="inlineStr">
        <is>
          <t>Задание 10</t>
        </is>
      </c>
      <c r="C19" s="14" t="inlineStr">
        <is>
          <t>12600 элементов, λср=0.32·10⁻⁶ ч⁻¹, t=50 ч</t>
        </is>
      </c>
      <c r="D19" s="13" t="inlineStr">
        <is>
          <t>fc(50)</t>
        </is>
      </c>
      <c r="E19" s="15" t="inlineStr">
        <is>
          <t>fc = λc · Pc</t>
        </is>
      </c>
      <c r="F19" s="11">
        <f>E107</f>
        <v/>
      </c>
      <c r="G19" s="17" t="inlineStr">
        <is>
          <t>1/ч</t>
        </is>
      </c>
    </row>
    <row r="20" ht="19" customHeight="1">
      <c r="B20" s="8" t="inlineStr">
        <is>
          <t>Задание 10</t>
        </is>
      </c>
      <c r="C20" s="9" t="inlineStr">
        <is>
          <t>12600 элементов, λср=0.32·10⁻⁶ ч⁻¹, t=50 ч</t>
        </is>
      </c>
      <c r="D20" s="8" t="inlineStr">
        <is>
          <t>mtc</t>
        </is>
      </c>
      <c r="E20" s="10" t="inlineStr">
        <is>
          <t>mtc = 1 / λc</t>
        </is>
      </c>
      <c r="F20" s="18">
        <f>E108</f>
        <v/>
      </c>
      <c r="G20" s="12" t="inlineStr">
        <is>
          <t>ч</t>
        </is>
      </c>
    </row>
    <row r="21" ht="19" customHeight="1">
      <c r="B21" s="13" t="inlineStr">
        <is>
          <t>Задание 11</t>
        </is>
      </c>
      <c r="C21" s="14" t="inlineStr">
        <is>
          <t>Прибор с λ=0.1·10⁻⁶ ч⁻¹, t=180 ч</t>
        </is>
      </c>
      <c r="D21" s="13" t="inlineStr">
        <is>
          <t>p(180)</t>
        </is>
      </c>
      <c r="E21" s="15" t="inlineStr">
        <is>
          <t>p = exp(-λ·t)</t>
        </is>
      </c>
      <c r="F21" s="11">
        <f>E121</f>
        <v/>
      </c>
      <c r="G21" s="17" t="inlineStr">
        <is>
          <t>—</t>
        </is>
      </c>
    </row>
    <row r="22" ht="19" customHeight="1">
      <c r="B22" s="8" t="inlineStr">
        <is>
          <t>Задание 11</t>
        </is>
      </c>
      <c r="C22" s="9" t="inlineStr">
        <is>
          <t>Прибор с λ=0.1·10⁻⁶ ч⁻¹, t=180 ч</t>
        </is>
      </c>
      <c r="D22" s="8" t="inlineStr">
        <is>
          <t>q(180)</t>
        </is>
      </c>
      <c r="E22" s="10" t="inlineStr">
        <is>
          <t>q = 1 - p</t>
        </is>
      </c>
      <c r="F22" s="11">
        <f>E122</f>
        <v/>
      </c>
      <c r="G22" s="12" t="inlineStr">
        <is>
          <t>—</t>
        </is>
      </c>
    </row>
    <row r="23" ht="19" customHeight="1">
      <c r="B23" s="13" t="inlineStr">
        <is>
          <t>Задание 11</t>
        </is>
      </c>
      <c r="C23" s="14" t="inlineStr">
        <is>
          <t>Прибор с λ=0.1·10⁻⁶ ч⁻¹, t=180 ч</t>
        </is>
      </c>
      <c r="D23" s="13" t="inlineStr">
        <is>
          <t>f(180)</t>
        </is>
      </c>
      <c r="E23" s="15" t="inlineStr">
        <is>
          <t>f = λ · p</t>
        </is>
      </c>
      <c r="F23" s="19">
        <f>E123</f>
        <v/>
      </c>
      <c r="G23" s="17" t="inlineStr">
        <is>
          <t>1/ч</t>
        </is>
      </c>
    </row>
    <row r="24" ht="19" customHeight="1">
      <c r="B24" s="8" t="inlineStr">
        <is>
          <t>Задание 11</t>
        </is>
      </c>
      <c r="C24" s="9" t="inlineStr">
        <is>
          <t>Прибор с λ=0.1·10⁻⁶ ч⁻¹, t=180 ч</t>
        </is>
      </c>
      <c r="D24" s="8" t="inlineStr">
        <is>
          <t>mt</t>
        </is>
      </c>
      <c r="E24" s="10" t="inlineStr">
        <is>
          <t>mt = 1 / λ</t>
        </is>
      </c>
      <c r="F24" s="20">
        <f>E124</f>
        <v/>
      </c>
      <c r="G24" s="12" t="inlineStr">
        <is>
          <t>ч</t>
        </is>
      </c>
    </row>
    <row r="25" ht="19" customHeight="1">
      <c r="B25" s="13" t="inlineStr">
        <is>
          <t>Задание 12</t>
        </is>
      </c>
      <c r="C25" s="14" t="inlineStr">
        <is>
          <t>Система из 5 приборов (mti = {83, 220, 280, 400, 700})</t>
        </is>
      </c>
      <c r="D25" s="13" t="inlineStr">
        <is>
          <t>λc</t>
        </is>
      </c>
      <c r="E25" s="15" t="inlineStr">
        <is>
          <t>λc = Σ (1/mti)</t>
        </is>
      </c>
      <c r="F25" s="11">
        <f>E137</f>
        <v/>
      </c>
      <c r="G25" s="17" t="inlineStr">
        <is>
          <t>1/ч</t>
        </is>
      </c>
    </row>
    <row r="26" ht="19" customHeight="1">
      <c r="B26" s="8" t="inlineStr">
        <is>
          <t>Задание 12</t>
        </is>
      </c>
      <c r="C26" s="9" t="inlineStr">
        <is>
          <t>Система из 5 приборов (mti = {83, 220, 280, 400, 700})</t>
        </is>
      </c>
      <c r="D26" s="8" t="inlineStr">
        <is>
          <t>mtc</t>
        </is>
      </c>
      <c r="E26" s="10" t="inlineStr">
        <is>
          <t>mtc = 1 / λc</t>
        </is>
      </c>
      <c r="F26" s="18">
        <f>E141</f>
        <v/>
      </c>
      <c r="G26" s="12" t="inlineStr">
        <is>
          <t>ч</t>
        </is>
      </c>
    </row>
    <row r="30" ht="20" customHeight="1">
      <c r="B30" s="21" t="inlineStr">
        <is>
          <t>Задача 6. Показатели надежности системы при L1 = 460 ч (t = 800 ч)</t>
        </is>
      </c>
      <c r="C30" s="22" t="n"/>
      <c r="D30" s="22" t="n"/>
      <c r="E30" s="22" t="n"/>
      <c r="F30" s="22" t="n"/>
    </row>
    <row r="31" ht="16" customHeight="1">
      <c r="B31" s="23" t="inlineStr">
        <is>
          <t>Условие: Средняя наработка до отказа L1 системы равна 460 ч. Для экспоненциального закона надежности определить P(t), f(t) и λ(t) за 800 ч работы системы.</t>
        </is>
      </c>
      <c r="C31" s="24" t="n"/>
      <c r="D31" s="24" t="n"/>
      <c r="E31" s="24" t="n"/>
      <c r="F31" s="24" t="n"/>
    </row>
    <row r="32" ht="16" customHeight="1">
      <c r="B32" s="24" t="n"/>
      <c r="C32" s="24" t="n"/>
      <c r="D32" s="24" t="n"/>
      <c r="E32" s="24" t="n"/>
      <c r="F32" s="24" t="n"/>
    </row>
    <row r="33">
      <c r="B33" s="25" t="inlineStr">
        <is>
          <t>Исходные данные:</t>
        </is>
      </c>
    </row>
    <row r="34" ht="19" customHeight="1">
      <c r="B34" s="26" t="inlineStr">
        <is>
          <t>Параметр</t>
        </is>
      </c>
      <c r="C34" s="26" t="inlineStr">
        <is>
          <t>Обозначение</t>
        </is>
      </c>
      <c r="D34" s="26" t="inlineStr">
        <is>
          <t>Значение</t>
        </is>
      </c>
      <c r="E34" s="26" t="inlineStr">
        <is>
          <t>Ед. изм.</t>
        </is>
      </c>
    </row>
    <row r="35" ht="18" customHeight="1">
      <c r="B35" s="27" t="inlineStr">
        <is>
          <t>Средняя наработка L1</t>
        </is>
      </c>
      <c r="C35" s="13" t="inlineStr">
        <is>
          <t>L1</t>
        </is>
      </c>
      <c r="D35" s="28" t="n">
        <v>460</v>
      </c>
      <c r="E35" s="17" t="inlineStr">
        <is>
          <t>ч</t>
        </is>
      </c>
    </row>
    <row r="36" ht="18" customHeight="1">
      <c r="B36" s="27" t="inlineStr">
        <is>
          <t>Время работы t</t>
        </is>
      </c>
      <c r="C36" s="13" t="inlineStr">
        <is>
          <t>t</t>
        </is>
      </c>
      <c r="D36" s="28" t="n">
        <v>800</v>
      </c>
      <c r="E36" s="17" t="inlineStr">
        <is>
          <t>ч</t>
        </is>
      </c>
    </row>
    <row r="38">
      <c r="B38" s="25" t="inlineStr">
        <is>
          <t>Расчет показателей:</t>
        </is>
      </c>
    </row>
    <row r="39" ht="19" customHeight="1">
      <c r="B39" s="26" t="inlineStr">
        <is>
          <t>Показатель</t>
        </is>
      </c>
      <c r="C39" s="26" t="inlineStr">
        <is>
          <t>Формула</t>
        </is>
      </c>
      <c r="D39" s="26" t="inlineStr">
        <is>
          <t>Расчет в Excel</t>
        </is>
      </c>
      <c r="E39" s="26" t="inlineStr">
        <is>
          <t>Значение</t>
        </is>
      </c>
      <c r="F39" s="26" t="inlineStr">
        <is>
          <t>Ед. изм.</t>
        </is>
      </c>
    </row>
    <row r="40" ht="20" customHeight="1">
      <c r="B40" s="27" t="inlineStr">
        <is>
          <t>Интенсивность отказов</t>
        </is>
      </c>
      <c r="C40" s="29" t="inlineStr">
        <is>
          <t>1 / L1</t>
        </is>
      </c>
      <c r="D40" s="30">
        <f>1/D35</f>
        <v/>
      </c>
      <c r="E40" s="11">
        <f>1/D35</f>
        <v/>
      </c>
      <c r="F40" s="17" t="inlineStr">
        <is>
          <t>1/ч</t>
        </is>
      </c>
    </row>
    <row r="41" ht="20" customHeight="1">
      <c r="B41" s="27" t="inlineStr">
        <is>
          <t>Вероятность безотказной работы</t>
        </is>
      </c>
      <c r="C41" s="29" t="inlineStr">
        <is>
          <t>exp(-λ·t)</t>
        </is>
      </c>
      <c r="D41" s="30">
        <f>EXP(-E40*D36)</f>
        <v/>
      </c>
      <c r="E41" s="16">
        <f>EXP(-E40*D36)</f>
        <v/>
      </c>
      <c r="F41" s="17" t="inlineStr">
        <is>
          <t>—</t>
        </is>
      </c>
    </row>
    <row r="42" ht="20" customHeight="1">
      <c r="B42" s="27" t="inlineStr">
        <is>
          <t>Частота отказов</t>
        </is>
      </c>
      <c r="C42" s="29" t="inlineStr">
        <is>
          <t>λ · P(t)</t>
        </is>
      </c>
      <c r="D42" s="30">
        <f>E40*E41</f>
        <v/>
      </c>
      <c r="E42" s="11">
        <f>E40*E41</f>
        <v/>
      </c>
      <c r="F42" s="17" t="inlineStr">
        <is>
          <t>1/ч</t>
        </is>
      </c>
    </row>
    <row r="43" ht="20" customHeight="1">
      <c r="B43" s="31" t="inlineStr">
        <is>
          <t>Ответ: λ(800) = 0,002174 1/ч; P(800) = 0,1757 (17,57%); f(800) = 0,000382 1/ч.</t>
        </is>
      </c>
      <c r="C43" s="32" t="n"/>
      <c r="D43" s="32" t="n"/>
      <c r="E43" s="32" t="n"/>
      <c r="F43" s="32" t="n"/>
    </row>
    <row r="45" ht="20" customHeight="1">
      <c r="B45" s="21" t="inlineStr">
        <is>
          <t>Задача 7. Надежность системы из 6000 последовательных элементов (T = 50 ч)</t>
        </is>
      </c>
      <c r="C45" s="22" t="n"/>
      <c r="D45" s="22" t="n"/>
      <c r="E45" s="22" t="n"/>
      <c r="F45" s="22" t="n"/>
    </row>
    <row r="46" ht="16" customHeight="1">
      <c r="B46" s="23" t="inlineStr">
        <is>
          <t>Условие: Система управления состоит из 6000 элементов, соединенных последовательно, средняя интенсивность отказов которых λср = 0,2∙10⁻⁶ ч⁻¹. Найти Pc(50) и mtc.</t>
        </is>
      </c>
      <c r="C46" s="24" t="n"/>
      <c r="D46" s="24" t="n"/>
      <c r="E46" s="24" t="n"/>
      <c r="F46" s="24" t="n"/>
    </row>
    <row r="47" ht="16" customHeight="1">
      <c r="B47" s="24" t="n"/>
      <c r="C47" s="24" t="n"/>
      <c r="D47" s="24" t="n"/>
      <c r="E47" s="24" t="n"/>
      <c r="F47" s="24" t="n"/>
    </row>
    <row r="48">
      <c r="B48" s="25" t="inlineStr">
        <is>
          <t>Исходные данные:</t>
        </is>
      </c>
    </row>
    <row r="49" ht="19" customHeight="1">
      <c r="B49" s="26" t="inlineStr">
        <is>
          <t>Параметр</t>
        </is>
      </c>
      <c r="C49" s="26" t="inlineStr">
        <is>
          <t>Обозначение</t>
        </is>
      </c>
      <c r="D49" s="26" t="inlineStr">
        <is>
          <t>Значение</t>
        </is>
      </c>
      <c r="E49" s="26" t="inlineStr">
        <is>
          <t>Ед. изм.</t>
        </is>
      </c>
    </row>
    <row r="50" ht="18" customHeight="1">
      <c r="B50" s="27" t="inlineStr">
        <is>
          <t>Число элементов</t>
        </is>
      </c>
      <c r="C50" s="13" t="inlineStr">
        <is>
          <t>n</t>
        </is>
      </c>
      <c r="D50" s="28" t="n">
        <v>6000</v>
      </c>
      <c r="E50" s="17" t="inlineStr">
        <is>
          <t>шт.</t>
        </is>
      </c>
    </row>
    <row r="51" ht="18" customHeight="1">
      <c r="B51" s="27" t="inlineStr">
        <is>
          <t>Интенсивность λср</t>
        </is>
      </c>
      <c r="C51" s="13" t="inlineStr">
        <is>
          <t>l_elem</t>
        </is>
      </c>
      <c r="D51" s="33" t="n">
        <v>2e-07</v>
      </c>
      <c r="E51" s="17" t="inlineStr">
        <is>
          <t>1/ч</t>
        </is>
      </c>
    </row>
    <row r="52" ht="18" customHeight="1">
      <c r="B52" s="27" t="inlineStr">
        <is>
          <t>Время Т</t>
        </is>
      </c>
      <c r="C52" s="13" t="inlineStr">
        <is>
          <t>T</t>
        </is>
      </c>
      <c r="D52" s="28" t="n">
        <v>50</v>
      </c>
      <c r="E52" s="17" t="inlineStr">
        <is>
          <t>ч</t>
        </is>
      </c>
    </row>
    <row r="54">
      <c r="B54" s="25" t="inlineStr">
        <is>
          <t>Расчет показателей:</t>
        </is>
      </c>
    </row>
    <row r="55" ht="19" customHeight="1">
      <c r="B55" s="26" t="inlineStr">
        <is>
          <t>Показатель</t>
        </is>
      </c>
      <c r="C55" s="26" t="inlineStr">
        <is>
          <t>Формула</t>
        </is>
      </c>
      <c r="D55" s="26" t="inlineStr">
        <is>
          <t>Расчет в Excel</t>
        </is>
      </c>
      <c r="E55" s="26" t="inlineStr">
        <is>
          <t>Значение</t>
        </is>
      </c>
      <c r="F55" s="26" t="inlineStr">
        <is>
          <t>Ед. изм.</t>
        </is>
      </c>
    </row>
    <row r="56" ht="20" customHeight="1">
      <c r="B56" s="27" t="inlineStr">
        <is>
          <t>Интенсивность системы λc</t>
        </is>
      </c>
      <c r="C56" s="29" t="inlineStr">
        <is>
          <t>n · λср</t>
        </is>
      </c>
      <c r="D56" s="30">
        <f>D50*D51</f>
        <v/>
      </c>
      <c r="E56" s="11">
        <f>D50*D51</f>
        <v/>
      </c>
      <c r="F56" s="17" t="inlineStr">
        <is>
          <t>1/ч</t>
        </is>
      </c>
    </row>
    <row r="57" ht="20" customHeight="1">
      <c r="B57" s="27" t="inlineStr">
        <is>
          <t>Вероятность безотказной работы</t>
        </is>
      </c>
      <c r="C57" s="29" t="inlineStr">
        <is>
          <t>exp(-λc·T)</t>
        </is>
      </c>
      <c r="D57" s="30">
        <f>EXP(-E56*D52)</f>
        <v/>
      </c>
      <c r="E57" s="16">
        <f>EXP(-E56*D52)</f>
        <v/>
      </c>
      <c r="F57" s="17" t="inlineStr">
        <is>
          <t>—</t>
        </is>
      </c>
    </row>
    <row r="58" ht="20" customHeight="1">
      <c r="B58" s="27" t="inlineStr">
        <is>
          <t>Среднее время работы системы</t>
        </is>
      </c>
      <c r="C58" s="29" t="inlineStr">
        <is>
          <t>1 / λc</t>
        </is>
      </c>
      <c r="D58" s="30">
        <f>1/E56</f>
        <v/>
      </c>
      <c r="E58" s="18">
        <f>1/E56</f>
        <v/>
      </c>
      <c r="F58" s="17" t="inlineStr">
        <is>
          <t>ч</t>
        </is>
      </c>
    </row>
    <row r="59" ht="20" customHeight="1">
      <c r="B59" s="31" t="inlineStr">
        <is>
          <t>Ответ: Pc(50) = 0,9418 (94,18%); mtc = 833,33 ч (λc = 1,2·10⁻³ 1/ч).</t>
        </is>
      </c>
      <c r="C59" s="32" t="n"/>
      <c r="D59" s="32" t="n"/>
      <c r="E59" s="32" t="n"/>
      <c r="F59" s="32" t="n"/>
    </row>
    <row r="61" ht="20" customHeight="1">
      <c r="B61" s="21" t="inlineStr">
        <is>
          <t>Задача 8. Надежность системы из 5000 последовательных элементов (T = 120 ч)</t>
        </is>
      </c>
      <c r="C61" s="22" t="n"/>
      <c r="D61" s="22" t="n"/>
      <c r="E61" s="22" t="n"/>
      <c r="F61" s="22" t="n"/>
    </row>
    <row r="62" ht="16" customHeight="1">
      <c r="B62" s="23" t="inlineStr">
        <is>
          <t>Условие: Система управления состоит из 5000 элементов, соединенных последовательно, средняя интенсивность отказов которых λср = 0,3∙10⁻⁶ ч⁻¹. Найти Pc(120) и mtc.</t>
        </is>
      </c>
      <c r="C62" s="24" t="n"/>
      <c r="D62" s="24" t="n"/>
      <c r="E62" s="24" t="n"/>
      <c r="F62" s="24" t="n"/>
    </row>
    <row r="63" ht="16" customHeight="1">
      <c r="B63" s="24" t="n"/>
      <c r="C63" s="24" t="n"/>
      <c r="D63" s="24" t="n"/>
      <c r="E63" s="24" t="n"/>
      <c r="F63" s="24" t="n"/>
    </row>
    <row r="64">
      <c r="B64" s="25" t="inlineStr">
        <is>
          <t>Исходные данные:</t>
        </is>
      </c>
    </row>
    <row r="65" ht="19" customHeight="1">
      <c r="B65" s="26" t="inlineStr">
        <is>
          <t>Параметр</t>
        </is>
      </c>
      <c r="C65" s="26" t="inlineStr">
        <is>
          <t>Обозначение</t>
        </is>
      </c>
      <c r="D65" s="26" t="inlineStr">
        <is>
          <t>Значение</t>
        </is>
      </c>
      <c r="E65" s="26" t="inlineStr">
        <is>
          <t>Ед. изм.</t>
        </is>
      </c>
    </row>
    <row r="66" ht="18" customHeight="1">
      <c r="B66" s="27" t="inlineStr">
        <is>
          <t>Число элементов</t>
        </is>
      </c>
      <c r="C66" s="13" t="inlineStr">
        <is>
          <t>n</t>
        </is>
      </c>
      <c r="D66" s="28" t="n">
        <v>5000</v>
      </c>
      <c r="E66" s="17" t="inlineStr">
        <is>
          <t>шт.</t>
        </is>
      </c>
    </row>
    <row r="67" ht="18" customHeight="1">
      <c r="B67" s="27" t="inlineStr">
        <is>
          <t>Интенсивность λср</t>
        </is>
      </c>
      <c r="C67" s="13" t="inlineStr">
        <is>
          <t>l_elem</t>
        </is>
      </c>
      <c r="D67" s="33" t="n">
        <v>3e-07</v>
      </c>
      <c r="E67" s="17" t="inlineStr">
        <is>
          <t>1/ч</t>
        </is>
      </c>
    </row>
    <row r="68" ht="18" customHeight="1">
      <c r="B68" s="27" t="inlineStr">
        <is>
          <t>Время Т</t>
        </is>
      </c>
      <c r="C68" s="13" t="inlineStr">
        <is>
          <t>T</t>
        </is>
      </c>
      <c r="D68" s="28" t="n">
        <v>120</v>
      </c>
      <c r="E68" s="17" t="inlineStr">
        <is>
          <t>ч</t>
        </is>
      </c>
    </row>
    <row r="70">
      <c r="B70" s="25" t="inlineStr">
        <is>
          <t>Расчет показателей:</t>
        </is>
      </c>
    </row>
    <row r="71" ht="19" customHeight="1">
      <c r="B71" s="26" t="inlineStr">
        <is>
          <t>Показатель</t>
        </is>
      </c>
      <c r="C71" s="26" t="inlineStr">
        <is>
          <t>Формула</t>
        </is>
      </c>
      <c r="D71" s="26" t="inlineStr">
        <is>
          <t>Расчет в Excel</t>
        </is>
      </c>
      <c r="E71" s="26" t="inlineStr">
        <is>
          <t>Значение</t>
        </is>
      </c>
      <c r="F71" s="26" t="inlineStr">
        <is>
          <t>Ед. изм.</t>
        </is>
      </c>
    </row>
    <row r="72" ht="20" customHeight="1">
      <c r="B72" s="27" t="inlineStr">
        <is>
          <t>Интенсивность системы λc</t>
        </is>
      </c>
      <c r="C72" s="29" t="inlineStr">
        <is>
          <t>n · λср</t>
        </is>
      </c>
      <c r="D72" s="30">
        <f>D66*D67</f>
        <v/>
      </c>
      <c r="E72" s="11">
        <f>D66*D67</f>
        <v/>
      </c>
      <c r="F72" s="17" t="inlineStr">
        <is>
          <t>1/ч</t>
        </is>
      </c>
    </row>
    <row r="73" ht="20" customHeight="1">
      <c r="B73" s="27" t="inlineStr">
        <is>
          <t>Вероятность безотказной работы</t>
        </is>
      </c>
      <c r="C73" s="29" t="inlineStr">
        <is>
          <t>exp(-λc·T)</t>
        </is>
      </c>
      <c r="D73" s="30">
        <f>EXP(-E72*D68)</f>
        <v/>
      </c>
      <c r="E73" s="16">
        <f>EXP(-E72*D68)</f>
        <v/>
      </c>
      <c r="F73" s="17" t="inlineStr">
        <is>
          <t>—</t>
        </is>
      </c>
    </row>
    <row r="74" ht="20" customHeight="1">
      <c r="B74" s="27" t="inlineStr">
        <is>
          <t>Среднее время работы системы</t>
        </is>
      </c>
      <c r="C74" s="29" t="inlineStr">
        <is>
          <t>1 / λc</t>
        </is>
      </c>
      <c r="D74" s="30">
        <f>1/E72</f>
        <v/>
      </c>
      <c r="E74" s="18">
        <f>1/E72</f>
        <v/>
      </c>
      <c r="F74" s="17" t="inlineStr">
        <is>
          <t>ч</t>
        </is>
      </c>
    </row>
    <row r="75" ht="20" customHeight="1">
      <c r="B75" s="31" t="inlineStr">
        <is>
          <t>Ответ: Pc(120) = 0,8353 (83,53%); mtc = 666,67 ч (λc = 1,5·10⁻³ 1/ч).</t>
        </is>
      </c>
      <c r="C75" s="32" t="n"/>
      <c r="D75" s="32" t="n"/>
      <c r="E75" s="32" t="n"/>
      <c r="F75" s="32" t="n"/>
    </row>
    <row r="77" ht="20" customHeight="1">
      <c r="B77" s="21" t="inlineStr">
        <is>
          <t>Задача 9. Надежность невосстанавливаемой ЭВМ из 200000 элементов (сутки)</t>
        </is>
      </c>
      <c r="C77" s="22" t="n"/>
      <c r="D77" s="22" t="n"/>
      <c r="E77" s="22" t="n"/>
      <c r="F77" s="22" t="n"/>
    </row>
    <row r="78" ht="16" customHeight="1">
      <c r="B78" s="23" t="inlineStr">
        <is>
          <t>Условие: Электронная машина состоит из 200000 последовательных элементов с λср = 0,3∙10⁻⁶ ч⁻¹. Определить Pc(24) в течение суток и mtc.</t>
        </is>
      </c>
      <c r="C78" s="24" t="n"/>
      <c r="D78" s="24" t="n"/>
      <c r="E78" s="24" t="n"/>
      <c r="F78" s="24" t="n"/>
    </row>
    <row r="79" ht="16" customHeight="1">
      <c r="B79" s="24" t="n"/>
      <c r="C79" s="24" t="n"/>
      <c r="D79" s="24" t="n"/>
      <c r="E79" s="24" t="n"/>
      <c r="F79" s="24" t="n"/>
    </row>
    <row r="80">
      <c r="B80" s="25" t="inlineStr">
        <is>
          <t>Исходные данные:</t>
        </is>
      </c>
    </row>
    <row r="81" ht="19" customHeight="1">
      <c r="B81" s="26" t="inlineStr">
        <is>
          <t>Параметр</t>
        </is>
      </c>
      <c r="C81" s="26" t="inlineStr">
        <is>
          <t>Обозначение</t>
        </is>
      </c>
      <c r="D81" s="26" t="inlineStr">
        <is>
          <t>Значение</t>
        </is>
      </c>
      <c r="E81" s="26" t="inlineStr">
        <is>
          <t>Ед. изм.</t>
        </is>
      </c>
    </row>
    <row r="82" ht="18" customHeight="1">
      <c r="B82" s="27" t="inlineStr">
        <is>
          <t>Число элементов</t>
        </is>
      </c>
      <c r="C82" s="13" t="inlineStr">
        <is>
          <t>n</t>
        </is>
      </c>
      <c r="D82" s="28" t="n">
        <v>200000</v>
      </c>
      <c r="E82" s="17" t="inlineStr">
        <is>
          <t>шт.</t>
        </is>
      </c>
    </row>
    <row r="83" ht="18" customHeight="1">
      <c r="B83" s="27" t="inlineStr">
        <is>
          <t>Интенсивность λср</t>
        </is>
      </c>
      <c r="C83" s="13" t="inlineStr">
        <is>
          <t>l_elem</t>
        </is>
      </c>
      <c r="D83" s="33" t="n">
        <v>3e-07</v>
      </c>
      <c r="E83" s="17" t="inlineStr">
        <is>
          <t>1/ч</t>
        </is>
      </c>
    </row>
    <row r="84" ht="18" customHeight="1">
      <c r="B84" s="27" t="inlineStr">
        <is>
          <t>Время в сутках t</t>
        </is>
      </c>
      <c r="C84" s="13" t="inlineStr">
        <is>
          <t>t</t>
        </is>
      </c>
      <c r="D84" s="28" t="n">
        <v>24</v>
      </c>
      <c r="E84" s="17" t="inlineStr">
        <is>
          <t>ч</t>
        </is>
      </c>
    </row>
    <row r="86">
      <c r="B86" s="25" t="inlineStr">
        <is>
          <t>Расчет показателей:</t>
        </is>
      </c>
    </row>
    <row r="87" ht="19" customHeight="1">
      <c r="B87" s="26" t="inlineStr">
        <is>
          <t>Показатель</t>
        </is>
      </c>
      <c r="C87" s="26" t="inlineStr">
        <is>
          <t>Формула</t>
        </is>
      </c>
      <c r="D87" s="26" t="inlineStr">
        <is>
          <t>Расчет в Excel</t>
        </is>
      </c>
      <c r="E87" s="26" t="inlineStr">
        <is>
          <t>Значение</t>
        </is>
      </c>
      <c r="F87" s="26" t="inlineStr">
        <is>
          <t>Ед. изм.</t>
        </is>
      </c>
    </row>
    <row r="88" ht="20" customHeight="1">
      <c r="B88" s="27" t="inlineStr">
        <is>
          <t>Интенсивность ЭВМ λc</t>
        </is>
      </c>
      <c r="C88" s="29" t="inlineStr">
        <is>
          <t>n · λср</t>
        </is>
      </c>
      <c r="D88" s="30">
        <f>D82*D83</f>
        <v/>
      </c>
      <c r="E88" s="11">
        <f>D82*D83</f>
        <v/>
      </c>
      <c r="F88" s="17" t="inlineStr">
        <is>
          <t>1/ч</t>
        </is>
      </c>
    </row>
    <row r="89" ht="20" customHeight="1">
      <c r="B89" s="27" t="inlineStr">
        <is>
          <t>Вероятность работы за сутки</t>
        </is>
      </c>
      <c r="C89" s="29" t="inlineStr">
        <is>
          <t>exp(-λc·t)</t>
        </is>
      </c>
      <c r="D89" s="30">
        <f>EXP(-E88*D84)</f>
        <v/>
      </c>
      <c r="E89" s="16">
        <f>EXP(-E88*D84)</f>
        <v/>
      </c>
      <c r="F89" s="17" t="inlineStr">
        <is>
          <t>—</t>
        </is>
      </c>
    </row>
    <row r="90" ht="20" customHeight="1">
      <c r="B90" s="27" t="inlineStr">
        <is>
          <t>Среднее время работы ЭВМ</t>
        </is>
      </c>
      <c r="C90" s="29" t="inlineStr">
        <is>
          <t>1 / λc</t>
        </is>
      </c>
      <c r="D90" s="30">
        <f>1/E88</f>
        <v/>
      </c>
      <c r="E90" s="18">
        <f>1/E88</f>
        <v/>
      </c>
      <c r="F90" s="17" t="inlineStr">
        <is>
          <t>ч</t>
        </is>
      </c>
    </row>
    <row r="91" ht="20" customHeight="1">
      <c r="B91" s="31" t="inlineStr">
        <is>
          <t>Ответ: Pc(24) = 0,2369 (23,69%); mtc = 16,67 ч (16 ч 40 мин; λc = 0,06 1/ч).</t>
        </is>
      </c>
      <c r="C91" s="32" t="n"/>
      <c r="D91" s="32" t="n"/>
      <c r="E91" s="32" t="n"/>
      <c r="F91" s="32" t="n"/>
    </row>
    <row r="93" ht="20" customHeight="1">
      <c r="B93" s="21" t="inlineStr">
        <is>
          <t>Задача 10. Расчет Pc(t), qc(t), fc(t), mtc для системы из 12600 элементов</t>
        </is>
      </c>
      <c r="C93" s="22" t="n"/>
      <c r="D93" s="22" t="n"/>
      <c r="E93" s="22" t="n"/>
      <c r="F93" s="22" t="n"/>
    </row>
    <row r="94" ht="16" customHeight="1">
      <c r="B94" s="23" t="inlineStr">
        <is>
          <t>Условие: Система состоит из 12600 элементов, средняя интенсивность отказов которых λср = 0,32∙10⁻⁶ ч⁻¹. Определить Pc(t), qc(t), fc(t), mtc для t = 50 ч.</t>
        </is>
      </c>
      <c r="C94" s="24" t="n"/>
      <c r="D94" s="24" t="n"/>
      <c r="E94" s="24" t="n"/>
      <c r="F94" s="24" t="n"/>
    </row>
    <row r="95" ht="16" customHeight="1">
      <c r="B95" s="24" t="n"/>
      <c r="C95" s="24" t="n"/>
      <c r="D95" s="24" t="n"/>
      <c r="E95" s="24" t="n"/>
      <c r="F95" s="24" t="n"/>
    </row>
    <row r="96">
      <c r="B96" s="25" t="inlineStr">
        <is>
          <t>Исходные данные:</t>
        </is>
      </c>
    </row>
    <row r="97" ht="19" customHeight="1">
      <c r="B97" s="26" t="inlineStr">
        <is>
          <t>Параметр</t>
        </is>
      </c>
      <c r="C97" s="26" t="inlineStr">
        <is>
          <t>Обозначение</t>
        </is>
      </c>
      <c r="D97" s="26" t="inlineStr">
        <is>
          <t>Значение</t>
        </is>
      </c>
      <c r="E97" s="26" t="inlineStr">
        <is>
          <t>Ед. изм.</t>
        </is>
      </c>
    </row>
    <row r="98" ht="18" customHeight="1">
      <c r="B98" s="27" t="inlineStr">
        <is>
          <t>Число элементов</t>
        </is>
      </c>
      <c r="C98" s="13" t="inlineStr">
        <is>
          <t>n</t>
        </is>
      </c>
      <c r="D98" s="28" t="n">
        <v>12600</v>
      </c>
      <c r="E98" s="17" t="inlineStr">
        <is>
          <t>шт.</t>
        </is>
      </c>
    </row>
    <row r="99" ht="18" customHeight="1">
      <c r="B99" s="27" t="inlineStr">
        <is>
          <t>Интенсивность λср</t>
        </is>
      </c>
      <c r="C99" s="13" t="inlineStr">
        <is>
          <t>l_elem</t>
        </is>
      </c>
      <c r="D99" s="33" t="n">
        <v>3.2e-07</v>
      </c>
      <c r="E99" s="17" t="inlineStr">
        <is>
          <t>1/ч</t>
        </is>
      </c>
    </row>
    <row r="100" ht="18" customHeight="1">
      <c r="B100" s="27" t="inlineStr">
        <is>
          <t>Время наработки t</t>
        </is>
      </c>
      <c r="C100" s="13" t="inlineStr">
        <is>
          <t>t</t>
        </is>
      </c>
      <c r="D100" s="28" t="n">
        <v>50</v>
      </c>
      <c r="E100" s="17" t="inlineStr">
        <is>
          <t>ч</t>
        </is>
      </c>
    </row>
    <row r="102">
      <c r="B102" s="25" t="inlineStr">
        <is>
          <t>Расчет показателей:</t>
        </is>
      </c>
    </row>
    <row r="103" ht="19" customHeight="1">
      <c r="B103" s="26" t="inlineStr">
        <is>
          <t>Показатель</t>
        </is>
      </c>
      <c r="C103" s="26" t="inlineStr">
        <is>
          <t>Формула</t>
        </is>
      </c>
      <c r="D103" s="26" t="inlineStr">
        <is>
          <t>Расчет в Excel</t>
        </is>
      </c>
      <c r="E103" s="26" t="inlineStr">
        <is>
          <t>Значение</t>
        </is>
      </c>
      <c r="F103" s="26" t="inlineStr">
        <is>
          <t>Ед. изм.</t>
        </is>
      </c>
    </row>
    <row r="104" ht="20" customHeight="1">
      <c r="B104" s="27" t="inlineStr">
        <is>
          <t>Интенсивность системы λc</t>
        </is>
      </c>
      <c r="C104" s="29" t="inlineStr">
        <is>
          <t>n · λср</t>
        </is>
      </c>
      <c r="D104" s="30">
        <f>D98*D99</f>
        <v/>
      </c>
      <c r="E104" s="11">
        <f>D98*D99</f>
        <v/>
      </c>
      <c r="F104" s="17" t="inlineStr">
        <is>
          <t>1/ч</t>
        </is>
      </c>
    </row>
    <row r="105" ht="20" customHeight="1">
      <c r="B105" s="27" t="inlineStr">
        <is>
          <t>Вероятность безотказной работы</t>
        </is>
      </c>
      <c r="C105" s="29" t="inlineStr">
        <is>
          <t>exp(-λc·t)</t>
        </is>
      </c>
      <c r="D105" s="30">
        <f>EXP(-E104*D100)</f>
        <v/>
      </c>
      <c r="E105" s="16">
        <f>EXP(-E104*D100)</f>
        <v/>
      </c>
      <c r="F105" s="17" t="inlineStr">
        <is>
          <t>—</t>
        </is>
      </c>
    </row>
    <row r="106" ht="20" customHeight="1">
      <c r="B106" s="27" t="inlineStr">
        <is>
          <t>Вероятность отказа qc</t>
        </is>
      </c>
      <c r="C106" s="29" t="inlineStr">
        <is>
          <t>1 - Pc(t)</t>
        </is>
      </c>
      <c r="D106" s="30">
        <f>1-E105</f>
        <v/>
      </c>
      <c r="E106" s="16">
        <f>1-E105</f>
        <v/>
      </c>
      <c r="F106" s="17" t="inlineStr">
        <is>
          <t>—</t>
        </is>
      </c>
    </row>
    <row r="107" ht="20" customHeight="1">
      <c r="B107" s="27" t="inlineStr">
        <is>
          <t>Частота отказов fc</t>
        </is>
      </c>
      <c r="C107" s="29" t="inlineStr">
        <is>
          <t>λc · Pc(t)</t>
        </is>
      </c>
      <c r="D107" s="30">
        <f>E104*E105</f>
        <v/>
      </c>
      <c r="E107" s="11">
        <f>E104*E105</f>
        <v/>
      </c>
      <c r="F107" s="17" t="inlineStr">
        <is>
          <t>1/ч</t>
        </is>
      </c>
    </row>
    <row r="108" ht="20" customHeight="1">
      <c r="B108" s="27" t="inlineStr">
        <is>
          <t>Среднее время работы mtc</t>
        </is>
      </c>
      <c r="C108" s="29" t="inlineStr">
        <is>
          <t>1 / λc</t>
        </is>
      </c>
      <c r="D108" s="30">
        <f>1/E104</f>
        <v/>
      </c>
      <c r="E108" s="18">
        <f>1/E104</f>
        <v/>
      </c>
      <c r="F108" s="17" t="inlineStr">
        <is>
          <t>ч</t>
        </is>
      </c>
    </row>
    <row r="109" ht="20" customHeight="1">
      <c r="B109" s="31" t="inlineStr">
        <is>
          <t>Ответ: Pc(50) = 0,8174; qc(50) = 0,1826; fc(50) = 0,003296 1/ч; mtc = 248,02 ч.</t>
        </is>
      </c>
      <c r="C109" s="32" t="n"/>
      <c r="D109" s="32" t="n"/>
      <c r="E109" s="32" t="n"/>
      <c r="F109" s="32" t="n"/>
    </row>
    <row r="111" ht="20" customHeight="1">
      <c r="B111" s="21" t="inlineStr">
        <is>
          <t>Задача 11. Характеристики прибора с λ = 0,1∙10⁻⁶ ч⁻¹ (t = 180 ч)</t>
        </is>
      </c>
      <c r="C111" s="22" t="n"/>
      <c r="D111" s="22" t="n"/>
      <c r="E111" s="22" t="n"/>
      <c r="F111" s="22" t="n"/>
    </row>
    <row r="112" ht="16" customHeight="1">
      <c r="B112" s="23" t="inlineStr">
        <is>
          <t>Условие: Время работы прибора до отказа подчинено экспоненциальному закону с λ = 0,1∙10⁻⁶ ч⁻¹; t = 180 ч. Определить p(t), q(t), f(t), mt.</t>
        </is>
      </c>
      <c r="C112" s="24" t="n"/>
      <c r="D112" s="24" t="n"/>
      <c r="E112" s="24" t="n"/>
      <c r="F112" s="24" t="n"/>
    </row>
    <row r="113" ht="16" customHeight="1">
      <c r="B113" s="24" t="n"/>
      <c r="C113" s="24" t="n"/>
      <c r="D113" s="24" t="n"/>
      <c r="E113" s="24" t="n"/>
      <c r="F113" s="24" t="n"/>
    </row>
    <row r="114">
      <c r="B114" s="25" t="inlineStr">
        <is>
          <t>Исходные данные:</t>
        </is>
      </c>
    </row>
    <row r="115" ht="19" customHeight="1">
      <c r="B115" s="26" t="inlineStr">
        <is>
          <t>Параметр</t>
        </is>
      </c>
      <c r="C115" s="26" t="inlineStr">
        <is>
          <t>Обозначение</t>
        </is>
      </c>
      <c r="D115" s="26" t="inlineStr">
        <is>
          <t>Значение</t>
        </is>
      </c>
      <c r="E115" s="26" t="inlineStr">
        <is>
          <t>Ед. изм.</t>
        </is>
      </c>
    </row>
    <row r="116" ht="18" customHeight="1">
      <c r="B116" s="27" t="inlineStr">
        <is>
          <t>Интенсивность λ</t>
        </is>
      </c>
      <c r="C116" s="13" t="inlineStr">
        <is>
          <t>l_val</t>
        </is>
      </c>
      <c r="D116" s="33" t="n">
        <v>1e-07</v>
      </c>
      <c r="E116" s="17" t="inlineStr">
        <is>
          <t>1/ч</t>
        </is>
      </c>
    </row>
    <row r="117" ht="18" customHeight="1">
      <c r="B117" s="27" t="inlineStr">
        <is>
          <t>Время наработки t</t>
        </is>
      </c>
      <c r="C117" s="13" t="inlineStr">
        <is>
          <t>t</t>
        </is>
      </c>
      <c r="D117" s="28" t="n">
        <v>180</v>
      </c>
      <c r="E117" s="17" t="inlineStr">
        <is>
          <t>ч</t>
        </is>
      </c>
    </row>
    <row r="119">
      <c r="B119" s="25" t="inlineStr">
        <is>
          <t>Расчет показателей:</t>
        </is>
      </c>
    </row>
    <row r="120" ht="19" customHeight="1">
      <c r="B120" s="26" t="inlineStr">
        <is>
          <t>Показатель</t>
        </is>
      </c>
      <c r="C120" s="26" t="inlineStr">
        <is>
          <t>Формула</t>
        </is>
      </c>
      <c r="D120" s="26" t="inlineStr">
        <is>
          <t>Расчет в Excel</t>
        </is>
      </c>
      <c r="E120" s="26" t="inlineStr">
        <is>
          <t>Значение</t>
        </is>
      </c>
      <c r="F120" s="26" t="inlineStr">
        <is>
          <t>Ед. изм.</t>
        </is>
      </c>
    </row>
    <row r="121" ht="20" customHeight="1">
      <c r="B121" s="27" t="inlineStr">
        <is>
          <t>Вероятность безотказной работы</t>
        </is>
      </c>
      <c r="C121" s="29" t="inlineStr">
        <is>
          <t>exp(-λ·t)</t>
        </is>
      </c>
      <c r="D121" s="30">
        <f>EXP(-D116*D117)</f>
        <v/>
      </c>
      <c r="E121" s="11">
        <f>EXP(-D116*D117)</f>
        <v/>
      </c>
      <c r="F121" s="17" t="inlineStr">
        <is>
          <t>—</t>
        </is>
      </c>
    </row>
    <row r="122" ht="20" customHeight="1">
      <c r="B122" s="27" t="inlineStr">
        <is>
          <t>Вероятность отказа q</t>
        </is>
      </c>
      <c r="C122" s="29" t="inlineStr">
        <is>
          <t>1 - p(t)</t>
        </is>
      </c>
      <c r="D122" s="30">
        <f>1-E121</f>
        <v/>
      </c>
      <c r="E122" s="11">
        <f>1-E121</f>
        <v/>
      </c>
      <c r="F122" s="17" t="inlineStr">
        <is>
          <t>—</t>
        </is>
      </c>
    </row>
    <row r="123" ht="20" customHeight="1">
      <c r="B123" s="27" t="inlineStr">
        <is>
          <t>Частота отказов f</t>
        </is>
      </c>
      <c r="C123" s="29" t="inlineStr">
        <is>
          <t>λ · p(t)</t>
        </is>
      </c>
      <c r="D123" s="30">
        <f>D116*E121</f>
        <v/>
      </c>
      <c r="E123" s="19">
        <f>D116*E121</f>
        <v/>
      </c>
      <c r="F123" s="17" t="inlineStr">
        <is>
          <t>1/ч</t>
        </is>
      </c>
    </row>
    <row r="124" ht="20" customHeight="1">
      <c r="B124" s="27" t="inlineStr">
        <is>
          <t>Среднее время работы mt</t>
        </is>
      </c>
      <c r="C124" s="29" t="inlineStr">
        <is>
          <t>1 / λ</t>
        </is>
      </c>
      <c r="D124" s="30">
        <f>1/D116</f>
        <v/>
      </c>
      <c r="E124" s="20">
        <f>1/D116</f>
        <v/>
      </c>
      <c r="F124" s="17" t="inlineStr">
        <is>
          <t>ч</t>
        </is>
      </c>
    </row>
    <row r="125" ht="20" customHeight="1">
      <c r="B125" s="31" t="inlineStr">
        <is>
          <t>Ответ: p(180) = 0,999982; q(180) = 0,000018 (1,8·10⁻⁵); f(180) = 1,00·10⁻⁷ 1/ч; mt = 10 000 000 ч.</t>
        </is>
      </c>
      <c r="C125" s="32" t="n"/>
      <c r="D125" s="32" t="n"/>
      <c r="E125" s="32" t="n"/>
      <c r="F125" s="32" t="n"/>
    </row>
    <row r="127" ht="20" customHeight="1">
      <c r="B127" s="21" t="inlineStr">
        <is>
          <t>Задача 12. Система из 5 приборов</t>
        </is>
      </c>
      <c r="C127" s="22" t="n"/>
      <c r="D127" s="22" t="n"/>
      <c r="E127" s="22" t="n"/>
      <c r="F127" s="22" t="n"/>
    </row>
    <row r="128" ht="16" customHeight="1">
      <c r="B128" s="23" t="inlineStr">
        <is>
          <t>Условие: Система из 5 приборов: mt1 = 83 ч, mt2 = 220 ч, mt3 = 280 ч, mt4 = 400 ч, mt5 = 700 ч. Экспоненциальный закон. Найти mtc системы.</t>
        </is>
      </c>
      <c r="C128" s="24" t="n"/>
      <c r="D128" s="24" t="n"/>
      <c r="E128" s="24" t="n"/>
      <c r="F128" s="24" t="n"/>
    </row>
    <row r="129" ht="16" customHeight="1">
      <c r="B129" s="24" t="n"/>
      <c r="C129" s="24" t="n"/>
      <c r="D129" s="24" t="n"/>
      <c r="E129" s="24" t="n"/>
      <c r="F129" s="24" t="n"/>
    </row>
    <row r="130">
      <c r="B130" s="25" t="inlineStr">
        <is>
          <t>Исходные данные и расчет интенсивностей приборов:</t>
        </is>
      </c>
    </row>
    <row r="131" ht="19" customHeight="1">
      <c r="B131" s="26" t="inlineStr">
        <is>
          <t>№</t>
        </is>
      </c>
      <c r="C131" s="26" t="inlineStr">
        <is>
          <t>Обозначение</t>
        </is>
      </c>
      <c r="D131" s="26" t="inlineStr">
        <is>
          <t>mt_i (ч)</t>
        </is>
      </c>
      <c r="E131" s="26" t="inlineStr">
        <is>
          <t>λ_i = 1/mt_i (1/ч)</t>
        </is>
      </c>
      <c r="F131" s="26" t="inlineStr">
        <is>
          <t>Примечание</t>
        </is>
      </c>
    </row>
    <row r="132" ht="18" customHeight="1">
      <c r="B132" s="17" t="inlineStr">
        <is>
          <t>1</t>
        </is>
      </c>
      <c r="C132" s="13" t="inlineStr">
        <is>
          <t>mt1</t>
        </is>
      </c>
      <c r="D132" s="28" t="n">
        <v>83</v>
      </c>
      <c r="E132" s="34">
        <f>1/D132</f>
        <v/>
      </c>
      <c r="F132" s="35" t="inlineStr">
        <is>
          <t>Прибор 1</t>
        </is>
      </c>
    </row>
    <row r="133" ht="18" customHeight="1">
      <c r="B133" s="17" t="inlineStr">
        <is>
          <t>2</t>
        </is>
      </c>
      <c r="C133" s="13" t="inlineStr">
        <is>
          <t>mt2</t>
        </is>
      </c>
      <c r="D133" s="28" t="n">
        <v>220</v>
      </c>
      <c r="E133" s="34">
        <f>1/D133</f>
        <v/>
      </c>
      <c r="F133" s="35" t="inlineStr">
        <is>
          <t>Прибор 2</t>
        </is>
      </c>
    </row>
    <row r="134" ht="18" customHeight="1">
      <c r="B134" s="17" t="inlineStr">
        <is>
          <t>3</t>
        </is>
      </c>
      <c r="C134" s="13" t="inlineStr">
        <is>
          <t>mt3</t>
        </is>
      </c>
      <c r="D134" s="28" t="n">
        <v>280</v>
      </c>
      <c r="E134" s="34">
        <f>1/D134</f>
        <v/>
      </c>
      <c r="F134" s="35" t="inlineStr">
        <is>
          <t>Прибор 3</t>
        </is>
      </c>
    </row>
    <row r="135" ht="18" customHeight="1">
      <c r="B135" s="17" t="inlineStr">
        <is>
          <t>4</t>
        </is>
      </c>
      <c r="C135" s="13" t="inlineStr">
        <is>
          <t>mt4</t>
        </is>
      </c>
      <c r="D135" s="28" t="n">
        <v>400</v>
      </c>
      <c r="E135" s="34">
        <f>1/D135</f>
        <v/>
      </c>
      <c r="F135" s="35" t="inlineStr">
        <is>
          <t>Прибор 4</t>
        </is>
      </c>
    </row>
    <row r="136" ht="18" customHeight="1">
      <c r="B136" s="17" t="inlineStr">
        <is>
          <t>5</t>
        </is>
      </c>
      <c r="C136" s="13" t="inlineStr">
        <is>
          <t>mt5</t>
        </is>
      </c>
      <c r="D136" s="28" t="n">
        <v>700</v>
      </c>
      <c r="E136" s="34">
        <f>1/D136</f>
        <v/>
      </c>
      <c r="F136" s="35" t="inlineStr">
        <is>
          <t>Прибор 5</t>
        </is>
      </c>
    </row>
    <row r="137">
      <c r="B137" s="36" t="inlineStr">
        <is>
          <t>Суммарная интенсивность λc = Σ λ_i :</t>
        </is>
      </c>
      <c r="C137" s="37" t="n"/>
      <c r="D137" s="37" t="n"/>
      <c r="E137" s="38">
        <f>SUM(E132:E136)</f>
        <v/>
      </c>
      <c r="F137" s="39" t="inlineStr">
        <is>
          <t>1/ч</t>
        </is>
      </c>
    </row>
    <row r="139">
      <c r="B139" s="25" t="inlineStr">
        <is>
          <t>Итоговый расчет mtc системы:</t>
        </is>
      </c>
    </row>
    <row r="140" ht="19" customHeight="1">
      <c r="B140" s="26" t="inlineStr">
        <is>
          <t>Показатель</t>
        </is>
      </c>
      <c r="C140" s="26" t="inlineStr">
        <is>
          <t>Формула</t>
        </is>
      </c>
      <c r="D140" s="26" t="inlineStr">
        <is>
          <t>Расчет в Excel</t>
        </is>
      </c>
      <c r="E140" s="26" t="inlineStr">
        <is>
          <t>Значение</t>
        </is>
      </c>
      <c r="F140" s="26" t="inlineStr">
        <is>
          <t>Ед. изм.</t>
        </is>
      </c>
    </row>
    <row r="141" ht="20" customHeight="1">
      <c r="B141" s="27" t="inlineStr">
        <is>
          <t>Средняя наработка системы mtc</t>
        </is>
      </c>
      <c r="C141" s="29" t="inlineStr">
        <is>
          <t>1 / λc</t>
        </is>
      </c>
      <c r="D141" s="30">
        <f>1/E137</f>
        <v/>
      </c>
      <c r="E141" s="18">
        <f>1/E137</f>
        <v/>
      </c>
      <c r="F141" s="17" t="inlineStr">
        <is>
          <t>ч</t>
        </is>
      </c>
    </row>
    <row r="142" ht="20" customHeight="1">
      <c r="B142" s="31" t="inlineStr">
        <is>
          <t>Ответ: Интенсивность отказов λc = 0,024094 1/ч; средняя наработка системы mtc = 41,50 ч.</t>
        </is>
      </c>
      <c r="C142" s="32" t="n"/>
      <c r="D142" s="32" t="n"/>
      <c r="E142" s="32" t="n"/>
      <c r="F142" s="32" t="n"/>
    </row>
  </sheetData>
  <mergeCells count="25">
    <mergeCell ref="B4:F4"/>
    <mergeCell ref="B75:F75"/>
    <mergeCell ref="B91:F91"/>
    <mergeCell ref="B109:F109"/>
    <mergeCell ref="B125:F125"/>
    <mergeCell ref="B78:F79"/>
    <mergeCell ref="B3:F3"/>
    <mergeCell ref="B59:F59"/>
    <mergeCell ref="B128:F129"/>
    <mergeCell ref="B93:F93"/>
    <mergeCell ref="B112:F113"/>
    <mergeCell ref="B43:F43"/>
    <mergeCell ref="B137:D137"/>
    <mergeCell ref="B77:F77"/>
    <mergeCell ref="B2:F2"/>
    <mergeCell ref="B111:F111"/>
    <mergeCell ref="B61:F61"/>
    <mergeCell ref="B94:F95"/>
    <mergeCell ref="B31:F32"/>
    <mergeCell ref="B127:F127"/>
    <mergeCell ref="B62:F63"/>
    <mergeCell ref="B30:F30"/>
    <mergeCell ref="B46:F47"/>
    <mergeCell ref="B142:F142"/>
    <mergeCell ref="B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2026-10-13T07:15:04Z</dcterms:created>
  <dcterms:modified xmlns:dcterms="http://purl.org/dc/terms/" xmlns:xsi="http://www.w3.org/2001/XMLSchema-instance" xsi:type="dcterms:W3CDTF">2026-10-13T07:15:04Z</dcterms:modified>
</cp:coreProperties>
</file>