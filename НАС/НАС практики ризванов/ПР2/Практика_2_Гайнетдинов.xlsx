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вая таблица" sheetId="1" state="visible" r:id="rId1"/>
    <sheet xmlns:r="http://schemas.openxmlformats.org/officeDocument/2006/relationships" name="Решения (№6-1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2F4F4"/>
      <sz val="10"/>
    </font>
    <font>
      <name val="Calibri"/>
      <b val="1"/>
      <color rgb="00FFFFFF"/>
      <sz val="10"/>
    </font>
    <font>
      <name val="Calibri"/>
      <i val="1"/>
      <color rgb="005D6D7E"/>
      <sz val="9"/>
    </font>
    <font>
      <name val="Calibri"/>
      <b val="1"/>
      <color rgb="002C3E50"/>
      <sz val="9"/>
    </font>
    <font>
      <name val="Calibri"/>
      <b val="1"/>
      <color rgb="00FFFFFF"/>
      <sz val="9"/>
    </font>
    <font>
      <name val="Calibri"/>
      <color rgb="002C3E50"/>
      <sz val="9"/>
    </font>
    <font>
      <name val="Calibri"/>
      <i val="1"/>
      <color rgb="002980B9"/>
      <sz val="9"/>
    </font>
    <font>
      <name val="Calibri"/>
      <b val="1"/>
      <color rgb="001B4F72"/>
      <sz val="10"/>
    </font>
    <font>
      <name val="Calibri"/>
      <b val="1"/>
      <color rgb="002C3E50"/>
      <sz val="11"/>
    </font>
  </fonts>
  <fills count="9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F4F6F7"/>
        <bgColor rgb="00F4F6F7"/>
      </patternFill>
    </fill>
    <fill>
      <patternFill patternType="solid">
        <fgColor rgb="004A6572"/>
        <bgColor rgb="004A6572"/>
      </patternFill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F8F9F9"/>
        <bgColor rgb="00F8F9F9"/>
      </patternFill>
    </fill>
  </fills>
  <borders count="4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2980B9"/>
      </left>
      <right style="thin">
        <color rgb="002980B9"/>
      </right>
      <top style="thin">
        <color rgb="002980B9"/>
      </top>
      <bottom style="thin">
        <color rgb="002980B9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double">
        <color rgb="002C3E5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0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4" fontId="9" fillId="6" borderId="2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165" fontId="9" fillId="6" borderId="2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2" fontId="9" fillId="6" borderId="2" applyAlignment="1" pivotButton="0" quotePrefix="0" xfId="0">
      <alignment horizontal="right" vertical="center"/>
    </xf>
    <xf numFmtId="11" fontId="9" fillId="6" borderId="2" applyAlignment="1" pivotButton="0" quotePrefix="0" xfId="0">
      <alignment horizontal="right" vertical="center"/>
    </xf>
    <xf numFmtId="3" fontId="9" fillId="6" borderId="2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5" fillId="0" borderId="0" pivotButton="0" quotePrefix="0" xfId="0"/>
    <xf numFmtId="0" fontId="7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5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1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5" fillId="4" borderId="3" applyAlignment="1" pivotButton="0" quotePrefix="0" xfId="0">
      <alignment horizontal="right" vertical="center"/>
    </xf>
    <xf numFmtId="0" fontId="0" fillId="4" borderId="3" pivotButton="0" quotePrefix="0" xfId="0"/>
    <xf numFmtId="164" fontId="9" fillId="6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14" customWidth="1" min="4" max="4"/>
    <col width="22" customWidth="1" min="5" max="5"/>
    <col width="16" customWidth="1" min="6" max="6"/>
    <col width="12" customWidth="1" min="7" max="7"/>
  </cols>
  <sheetData>
    <row r="2" ht="24" customHeight="1">
      <c r="B2" s="1" t="inlineStr">
        <is>
          <t>СВОДНЫЕ РЕЗУЛЬТАТЫ ПРАКТИЧЕСКОЙ РАБОТЫ № 2</t>
        </is>
      </c>
      <c r="C2" s="2" t="n"/>
      <c r="D2" s="2" t="n"/>
      <c r="E2" s="2" t="n"/>
      <c r="F2" s="2" t="n"/>
      <c r="G2" s="2" t="n"/>
    </row>
    <row r="3" ht="18" customHeight="1">
      <c r="B3" s="3" t="inlineStr">
        <is>
          <t>Студент: Гайнетдинов  |  Вариант / Задания № 6 – 12</t>
        </is>
      </c>
      <c r="C3" s="4" t="n"/>
      <c r="D3" s="4" t="n"/>
      <c r="E3" s="4" t="n"/>
      <c r="F3" s="4" t="n"/>
      <c r="G3" s="4" t="n"/>
    </row>
    <row r="5" ht="20" customHeight="1">
      <c r="B5" s="5" t="inlineStr">
        <is>
          <t>Таблица итоговых ответов по аналитическому расчету надежности:</t>
        </is>
      </c>
    </row>
    <row r="6" ht="22" customHeight="1">
      <c r="B6" s="6" t="inlineStr">
        <is>
          <t>№ задачи</t>
        </is>
      </c>
      <c r="C6" s="6" t="inlineStr">
        <is>
          <t>Краткое условие</t>
        </is>
      </c>
      <c r="D6" s="6" t="inlineStr">
        <is>
          <t>Параметр</t>
        </is>
      </c>
      <c r="E6" s="6" t="inlineStr">
        <is>
          <t>Формула</t>
        </is>
      </c>
      <c r="F6" s="6" t="inlineStr">
        <is>
          <t>Результат</t>
        </is>
      </c>
      <c r="G6" s="6" t="inlineStr">
        <is>
          <t>Ед. изм.</t>
        </is>
      </c>
    </row>
    <row r="7" ht="19" customHeight="1">
      <c r="B7" s="7" t="inlineStr">
        <is>
          <t>Задание 6</t>
        </is>
      </c>
      <c r="C7" s="8" t="inlineStr">
        <is>
          <t>L1=460 ч, t=800 ч. Интенсивность отказов</t>
        </is>
      </c>
      <c r="D7" s="7" t="inlineStr">
        <is>
          <t>λ(800)</t>
        </is>
      </c>
      <c r="E7" s="9" t="inlineStr">
        <is>
          <t>λ = 1 / L1</t>
        </is>
      </c>
      <c r="F7" s="10">
        <f>'Решения (№6-12)'!E15</f>
        <v/>
      </c>
      <c r="G7" s="11" t="inlineStr">
        <is>
          <t>1/ч</t>
        </is>
      </c>
    </row>
    <row r="8" ht="19" customHeight="1">
      <c r="B8" s="12" t="inlineStr">
        <is>
          <t>Задание 6</t>
        </is>
      </c>
      <c r="C8" s="13" t="inlineStr">
        <is>
          <t>L1=460 ч, t=800 ч. Вероятность безотказной работы</t>
        </is>
      </c>
      <c r="D8" s="12" t="inlineStr">
        <is>
          <t>P(800)</t>
        </is>
      </c>
      <c r="E8" s="14" t="inlineStr">
        <is>
          <t>P = exp(-λ·t)</t>
        </is>
      </c>
      <c r="F8" s="15">
        <f>'Решения (№6-12)'!E16</f>
        <v/>
      </c>
      <c r="G8" s="16" t="inlineStr">
        <is>
          <t>—</t>
        </is>
      </c>
    </row>
    <row r="9" ht="19" customHeight="1">
      <c r="B9" s="7" t="inlineStr">
        <is>
          <t>Задание 6</t>
        </is>
      </c>
      <c r="C9" s="8" t="inlineStr">
        <is>
          <t>L1=460 ч, t=800 ч. Частота отказов</t>
        </is>
      </c>
      <c r="D9" s="7" t="inlineStr">
        <is>
          <t>f(800)</t>
        </is>
      </c>
      <c r="E9" s="9" t="inlineStr">
        <is>
          <t>f = λ · P(t)</t>
        </is>
      </c>
      <c r="F9" s="10">
        <f>'Решения (№6-12)'!E17</f>
        <v/>
      </c>
      <c r="G9" s="11" t="inlineStr">
        <is>
          <t>1/ч</t>
        </is>
      </c>
    </row>
    <row r="10" ht="19" customHeight="1">
      <c r="B10" s="12" t="inlineStr">
        <is>
          <t>Задание 7</t>
        </is>
      </c>
      <c r="C10" s="13" t="inlineStr">
        <is>
          <t>6000 элементов, λср=0.2·10⁻⁶ ч⁻¹, T=50 ч</t>
        </is>
      </c>
      <c r="D10" s="12" t="inlineStr">
        <is>
          <t>Pc(50)</t>
        </is>
      </c>
      <c r="E10" s="14" t="inlineStr">
        <is>
          <t>Pc = exp(-λc·T)</t>
        </is>
      </c>
      <c r="F10" s="15">
        <f>'Решения (№6-12)'!E32</f>
        <v/>
      </c>
      <c r="G10" s="16" t="inlineStr">
        <is>
          <t>—</t>
        </is>
      </c>
    </row>
    <row r="11" ht="19" customHeight="1">
      <c r="B11" s="7" t="inlineStr">
        <is>
          <t>Задание 7</t>
        </is>
      </c>
      <c r="C11" s="8" t="inlineStr">
        <is>
          <t>6000 элементов, λср=0.2·10⁻⁶ ч⁻¹, T=50 ч</t>
        </is>
      </c>
      <c r="D11" s="7" t="inlineStr">
        <is>
          <t>mtc</t>
        </is>
      </c>
      <c r="E11" s="9" t="inlineStr">
        <is>
          <t>mtc = 1 / λc</t>
        </is>
      </c>
      <c r="F11" s="17">
        <f>'Решения (№6-12)'!E33</f>
        <v/>
      </c>
      <c r="G11" s="11" t="inlineStr">
        <is>
          <t>ч</t>
        </is>
      </c>
    </row>
    <row r="12" ht="19" customHeight="1">
      <c r="B12" s="12" t="inlineStr">
        <is>
          <t>Задание 8</t>
        </is>
      </c>
      <c r="C12" s="13" t="inlineStr">
        <is>
          <t>5000 элементов, λср=0.3·10⁻⁶ ч⁻¹, T=120 ч</t>
        </is>
      </c>
      <c r="D12" s="12" t="inlineStr">
        <is>
          <t>Pc(120)</t>
        </is>
      </c>
      <c r="E12" s="14" t="inlineStr">
        <is>
          <t>Pc = exp(-λc·T)</t>
        </is>
      </c>
      <c r="F12" s="15">
        <f>'Решения (№6-12)'!E48</f>
        <v/>
      </c>
      <c r="G12" s="16" t="inlineStr">
        <is>
          <t>—</t>
        </is>
      </c>
    </row>
    <row r="13" ht="19" customHeight="1">
      <c r="B13" s="7" t="inlineStr">
        <is>
          <t>Задание 8</t>
        </is>
      </c>
      <c r="C13" s="8" t="inlineStr">
        <is>
          <t>5000 элементов, λср=0.3·10⁻⁶ ч⁻¹, T=120 ч</t>
        </is>
      </c>
      <c r="D13" s="7" t="inlineStr">
        <is>
          <t>mtc</t>
        </is>
      </c>
      <c r="E13" s="9" t="inlineStr">
        <is>
          <t>mtc = 1 / λc</t>
        </is>
      </c>
      <c r="F13" s="17">
        <f>'Решения (№6-12)'!E49</f>
        <v/>
      </c>
      <c r="G13" s="11" t="inlineStr">
        <is>
          <t>ч</t>
        </is>
      </c>
    </row>
    <row r="14" ht="19" customHeight="1">
      <c r="B14" s="12" t="inlineStr">
        <is>
          <t>Задание 9</t>
        </is>
      </c>
      <c r="C14" s="13" t="inlineStr">
        <is>
          <t>200000 элементов, λср=0.3·10⁻⁶ ч⁻¹, сутки (t=24 ч)</t>
        </is>
      </c>
      <c r="D14" s="12" t="inlineStr">
        <is>
          <t>Pc(24)</t>
        </is>
      </c>
      <c r="E14" s="14" t="inlineStr">
        <is>
          <t>Pc = exp(-λc·t)</t>
        </is>
      </c>
      <c r="F14" s="15">
        <f>'Решения (№6-12)'!E64</f>
        <v/>
      </c>
      <c r="G14" s="16" t="inlineStr">
        <is>
          <t>—</t>
        </is>
      </c>
    </row>
    <row r="15" ht="19" customHeight="1">
      <c r="B15" s="7" t="inlineStr">
        <is>
          <t>Задание 9</t>
        </is>
      </c>
      <c r="C15" s="8" t="inlineStr">
        <is>
          <t>200000 элементов, λср=0.3·10⁻⁶ ч⁻¹, сутки (t=24 ч)</t>
        </is>
      </c>
      <c r="D15" s="7" t="inlineStr">
        <is>
          <t>mtc</t>
        </is>
      </c>
      <c r="E15" s="9" t="inlineStr">
        <is>
          <t>mtc = 1 / λc</t>
        </is>
      </c>
      <c r="F15" s="17">
        <f>'Решения (№6-12)'!E65</f>
        <v/>
      </c>
      <c r="G15" s="11" t="inlineStr">
        <is>
          <t>ч</t>
        </is>
      </c>
    </row>
    <row r="16" ht="19" customHeight="1">
      <c r="B16" s="12" t="inlineStr">
        <is>
          <t>Задание 10</t>
        </is>
      </c>
      <c r="C16" s="13" t="inlineStr">
        <is>
          <t>12600 элементов, λср=0.32·10⁻⁶ ч⁻¹, t=50 ч</t>
        </is>
      </c>
      <c r="D16" s="12" t="inlineStr">
        <is>
          <t>Pc(50)</t>
        </is>
      </c>
      <c r="E16" s="14" t="inlineStr">
        <is>
          <t>Pc = exp(-λc·t)</t>
        </is>
      </c>
      <c r="F16" s="15">
        <f>'Решения (№6-12)'!E80</f>
        <v/>
      </c>
      <c r="G16" s="16" t="inlineStr">
        <is>
          <t>—</t>
        </is>
      </c>
    </row>
    <row r="17" ht="19" customHeight="1">
      <c r="B17" s="7" t="inlineStr">
        <is>
          <t>Задание 10</t>
        </is>
      </c>
      <c r="C17" s="8" t="inlineStr">
        <is>
          <t>12600 элементов, λср=0.32·10⁻⁶ ч⁻¹, t=50 ч</t>
        </is>
      </c>
      <c r="D17" s="7" t="inlineStr">
        <is>
          <t>qc(50)</t>
        </is>
      </c>
      <c r="E17" s="9" t="inlineStr">
        <is>
          <t>qc = 1 - Pc</t>
        </is>
      </c>
      <c r="F17" s="15">
        <f>'Решения (№6-12)'!E81</f>
        <v/>
      </c>
      <c r="G17" s="11" t="inlineStr">
        <is>
          <t>—</t>
        </is>
      </c>
    </row>
    <row r="18" ht="19" customHeight="1">
      <c r="B18" s="12" t="inlineStr">
        <is>
          <t>Задание 10</t>
        </is>
      </c>
      <c r="C18" s="13" t="inlineStr">
        <is>
          <t>12600 элементов, λср=0.32·10⁻⁶ ч⁻¹, t=50 ч</t>
        </is>
      </c>
      <c r="D18" s="12" t="inlineStr">
        <is>
          <t>fc(50)</t>
        </is>
      </c>
      <c r="E18" s="14" t="inlineStr">
        <is>
          <t>fc = λc · Pc</t>
        </is>
      </c>
      <c r="F18" s="10">
        <f>'Решения (№6-12)'!E82</f>
        <v/>
      </c>
      <c r="G18" s="16" t="inlineStr">
        <is>
          <t>1/ч</t>
        </is>
      </c>
    </row>
    <row r="19" ht="19" customHeight="1">
      <c r="B19" s="7" t="inlineStr">
        <is>
          <t>Задание 10</t>
        </is>
      </c>
      <c r="C19" s="8" t="inlineStr">
        <is>
          <t>12600 элементов, λср=0.32·10⁻⁶ ч⁻¹, t=50 ч</t>
        </is>
      </c>
      <c r="D19" s="7" t="inlineStr">
        <is>
          <t>mtc</t>
        </is>
      </c>
      <c r="E19" s="9" t="inlineStr">
        <is>
          <t>mtc = 1 / λc</t>
        </is>
      </c>
      <c r="F19" s="17">
        <f>'Решения (№6-12)'!E83</f>
        <v/>
      </c>
      <c r="G19" s="11" t="inlineStr">
        <is>
          <t>ч</t>
        </is>
      </c>
    </row>
    <row r="20" ht="19" customHeight="1">
      <c r="B20" s="12" t="inlineStr">
        <is>
          <t>Задание 11</t>
        </is>
      </c>
      <c r="C20" s="13" t="inlineStr">
        <is>
          <t>Прибор с λ=0.1·10⁻⁶ ч⁻¹, t=180 ч</t>
        </is>
      </c>
      <c r="D20" s="12" t="inlineStr">
        <is>
          <t>p(180)</t>
        </is>
      </c>
      <c r="E20" s="14" t="inlineStr">
        <is>
          <t>p = exp(-λ·t)</t>
        </is>
      </c>
      <c r="F20" s="10">
        <f>'Решения (№6-12)'!E96</f>
        <v/>
      </c>
      <c r="G20" s="16" t="inlineStr">
        <is>
          <t>—</t>
        </is>
      </c>
    </row>
    <row r="21" ht="19" customHeight="1">
      <c r="B21" s="7" t="inlineStr">
        <is>
          <t>Задание 11</t>
        </is>
      </c>
      <c r="C21" s="8" t="inlineStr">
        <is>
          <t>Прибор с λ=0.1·10⁻⁶ ч⁻¹, t=180 ч</t>
        </is>
      </c>
      <c r="D21" s="7" t="inlineStr">
        <is>
          <t>q(180)</t>
        </is>
      </c>
      <c r="E21" s="9" t="inlineStr">
        <is>
          <t>q = 1 - p</t>
        </is>
      </c>
      <c r="F21" s="10">
        <f>'Решения (№6-12)'!E97</f>
        <v/>
      </c>
      <c r="G21" s="11" t="inlineStr">
        <is>
          <t>—</t>
        </is>
      </c>
    </row>
    <row r="22" ht="19" customHeight="1">
      <c r="B22" s="12" t="inlineStr">
        <is>
          <t>Задание 11</t>
        </is>
      </c>
      <c r="C22" s="13" t="inlineStr">
        <is>
          <t>Прибор с λ=0.1·10⁻⁶ ч⁻¹, t=180 ч</t>
        </is>
      </c>
      <c r="D22" s="12" t="inlineStr">
        <is>
          <t>f(180)</t>
        </is>
      </c>
      <c r="E22" s="14" t="inlineStr">
        <is>
          <t>f = λ · p</t>
        </is>
      </c>
      <c r="F22" s="18">
        <f>'Решения (№6-12)'!E98</f>
        <v/>
      </c>
      <c r="G22" s="16" t="inlineStr">
        <is>
          <t>1/ч</t>
        </is>
      </c>
    </row>
    <row r="23" ht="19" customHeight="1">
      <c r="B23" s="7" t="inlineStr">
        <is>
          <t>Задание 11</t>
        </is>
      </c>
      <c r="C23" s="8" t="inlineStr">
        <is>
          <t>Прибор с λ=0.1·10⁻⁶ ч⁻¹, t=180 ч</t>
        </is>
      </c>
      <c r="D23" s="7" t="inlineStr">
        <is>
          <t>mt</t>
        </is>
      </c>
      <c r="E23" s="9" t="inlineStr">
        <is>
          <t>mt = 1 / λ</t>
        </is>
      </c>
      <c r="F23" s="19">
        <f>'Решения (№6-12)'!E99</f>
        <v/>
      </c>
      <c r="G23" s="11" t="inlineStr">
        <is>
          <t>ч</t>
        </is>
      </c>
    </row>
    <row r="24" ht="19" customHeight="1">
      <c r="B24" s="12" t="inlineStr">
        <is>
          <t>Задание 12</t>
        </is>
      </c>
      <c r="C24" s="13" t="inlineStr">
        <is>
          <t>Система из 5 приборов (mti = {83, 220, 280, 400, 700})</t>
        </is>
      </c>
      <c r="D24" s="12" t="inlineStr">
        <is>
          <t>λc</t>
        </is>
      </c>
      <c r="E24" s="14" t="inlineStr">
        <is>
          <t>λc = Σ (1/mti)</t>
        </is>
      </c>
      <c r="F24" s="10">
        <f>'Решения (№6-12)'!E112</f>
        <v/>
      </c>
      <c r="G24" s="16" t="inlineStr">
        <is>
          <t>1/ч</t>
        </is>
      </c>
    </row>
    <row r="25" ht="19" customHeight="1">
      <c r="B25" s="7" t="inlineStr">
        <is>
          <t>Задание 12</t>
        </is>
      </c>
      <c r="C25" s="8" t="inlineStr">
        <is>
          <t>Система из 5 приборов (mti = {83, 220, 280, 400, 700})</t>
        </is>
      </c>
      <c r="D25" s="7" t="inlineStr">
        <is>
          <t>mtc</t>
        </is>
      </c>
      <c r="E25" s="9" t="inlineStr">
        <is>
          <t>mtc = 1 / λc</t>
        </is>
      </c>
      <c r="F25" s="17">
        <f>'Решения (№6-12)'!E116</f>
        <v/>
      </c>
      <c r="G25" s="11" t="inlineStr">
        <is>
          <t>ч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22" customWidth="1" min="4" max="4"/>
    <col width="18" customWidth="1" min="5" max="5"/>
    <col width="14" customWidth="1" min="6" max="6"/>
    <col width="20" customWidth="1" min="7" max="7"/>
  </cols>
  <sheetData>
    <row r="2" ht="24" customHeight="1">
      <c r="B2" s="1" t="inlineStr">
        <is>
          <t>РАСЧЕТНАЯ ЧАСТЬ ПРАКТИЧЕСКОЙ РАБОТЫ № 2 (ЗАДАНИЯ 6 – 12)</t>
        </is>
      </c>
      <c r="C2" s="2" t="n"/>
      <c r="D2" s="2" t="n"/>
      <c r="E2" s="2" t="n"/>
      <c r="F2" s="2" t="n"/>
      <c r="G2" s="2" t="n"/>
    </row>
    <row r="3" ht="18" customHeight="1">
      <c r="B3" s="3" t="inlineStr">
        <is>
          <t>Аналитическая оценка показателей надежности  |  Студент: Гайнетдинов</t>
        </is>
      </c>
      <c r="C3" s="4" t="n"/>
      <c r="D3" s="4" t="n"/>
      <c r="E3" s="4" t="n"/>
      <c r="F3" s="4" t="n"/>
      <c r="G3" s="4" t="n"/>
    </row>
    <row r="5" ht="20" customHeight="1">
      <c r="B5" s="20" t="inlineStr">
        <is>
          <t>Задание 6. Расчет λ(t), P(t), f(t) при L1 = 460 ч (t = 800 ч)</t>
        </is>
      </c>
      <c r="C5" s="21" t="n"/>
      <c r="D5" s="21" t="n"/>
      <c r="E5" s="21" t="n"/>
      <c r="F5" s="21" t="n"/>
      <c r="G5" s="21" t="n"/>
    </row>
    <row r="6" ht="16" customHeight="1">
      <c r="B6" s="22" t="inlineStr">
        <is>
          <t>Текст задания: Средняя наработка до отказа L1 системы равна 460 ч. Для экспоненциального закона надежности определить P(t), f(t) и λ(t) за 800 ч работы системы.</t>
        </is>
      </c>
      <c r="C6" s="23" t="n"/>
      <c r="D6" s="23" t="n"/>
      <c r="E6" s="23" t="n"/>
      <c r="F6" s="23" t="n"/>
      <c r="G6" s="23" t="n"/>
    </row>
    <row r="7" ht="16" customHeight="1">
      <c r="B7" s="23" t="n"/>
      <c r="C7" s="23" t="n"/>
      <c r="D7" s="23" t="n"/>
      <c r="E7" s="23" t="n"/>
      <c r="F7" s="23" t="n"/>
      <c r="G7" s="23" t="n"/>
    </row>
    <row r="8">
      <c r="B8" s="24" t="inlineStr">
        <is>
          <t>1. Исходные параметры</t>
        </is>
      </c>
    </row>
    <row r="9" ht="18" customHeight="1">
      <c r="B9" s="6" t="inlineStr">
        <is>
          <t>Наименование</t>
        </is>
      </c>
      <c r="C9" s="6" t="inlineStr">
        <is>
          <t>Символ</t>
        </is>
      </c>
      <c r="D9" s="6" t="inlineStr">
        <is>
          <t>Значение</t>
        </is>
      </c>
      <c r="E9" s="6" t="inlineStr">
        <is>
          <t>Размерность</t>
        </is>
      </c>
    </row>
    <row r="10" ht="18" customHeight="1">
      <c r="B10" s="25" t="inlineStr">
        <is>
          <t>Средняя наработка L1</t>
        </is>
      </c>
      <c r="C10" s="7" t="inlineStr">
        <is>
          <t>L1</t>
        </is>
      </c>
      <c r="D10" s="26" t="n">
        <v>460</v>
      </c>
      <c r="E10" s="11" t="inlineStr">
        <is>
          <t>ч</t>
        </is>
      </c>
    </row>
    <row r="11" ht="18" customHeight="1">
      <c r="B11" s="25" t="inlineStr">
        <is>
          <t>Период эксплуатации t</t>
        </is>
      </c>
      <c r="C11" s="7" t="inlineStr">
        <is>
          <t>t</t>
        </is>
      </c>
      <c r="D11" s="26" t="n">
        <v>800</v>
      </c>
      <c r="E11" s="11" t="inlineStr">
        <is>
          <t>ч</t>
        </is>
      </c>
    </row>
    <row r="13">
      <c r="B13" s="24" t="inlineStr">
        <is>
          <t>2. Аналитический расчет характеристик</t>
        </is>
      </c>
    </row>
    <row r="14" ht="18" customHeight="1">
      <c r="B14" s="6" t="inlineStr">
        <is>
          <t>Искомый показатель</t>
        </is>
      </c>
      <c r="C14" s="6" t="inlineStr">
        <is>
          <t>Матем. формула</t>
        </is>
      </c>
      <c r="D14" s="6" t="inlineStr">
        <is>
          <t>Формула в Excel</t>
        </is>
      </c>
      <c r="E14" s="6" t="inlineStr">
        <is>
          <t>Значение</t>
        </is>
      </c>
      <c r="F14" s="6" t="inlineStr">
        <is>
          <t>Размерность</t>
        </is>
      </c>
    </row>
    <row r="15" ht="19" customHeight="1">
      <c r="B15" s="25" t="inlineStr">
        <is>
          <t>Интенсивность отказов λ</t>
        </is>
      </c>
      <c r="C15" s="27" t="inlineStr">
        <is>
          <t>1 / L1</t>
        </is>
      </c>
      <c r="D15" s="28">
        <f>1/D10</f>
        <v/>
      </c>
      <c r="E15" s="10">
        <f>1/D10</f>
        <v/>
      </c>
      <c r="F15" s="11" t="inlineStr">
        <is>
          <t>1/ч</t>
        </is>
      </c>
    </row>
    <row r="16" ht="19" customHeight="1">
      <c r="B16" s="25" t="inlineStr">
        <is>
          <t>Вероятность безотказной работы P</t>
        </is>
      </c>
      <c r="C16" s="27" t="inlineStr">
        <is>
          <t>exp(-λ·t)</t>
        </is>
      </c>
      <c r="D16" s="28">
        <f>EXP(-E15*D11)</f>
        <v/>
      </c>
      <c r="E16" s="15">
        <f>EXP(-E15*D11)</f>
        <v/>
      </c>
      <c r="F16" s="11" t="inlineStr">
        <is>
          <t>—</t>
        </is>
      </c>
    </row>
    <row r="17" ht="19" customHeight="1">
      <c r="B17" s="25" t="inlineStr">
        <is>
          <t>Частота отказов f</t>
        </is>
      </c>
      <c r="C17" s="27" t="inlineStr">
        <is>
          <t>λ · P(t)</t>
        </is>
      </c>
      <c r="D17" s="28">
        <f>E15*E16</f>
        <v/>
      </c>
      <c r="E17" s="10">
        <f>E15*E16</f>
        <v/>
      </c>
      <c r="F17" s="11" t="inlineStr">
        <is>
          <t>1/ч</t>
        </is>
      </c>
    </row>
    <row r="18" ht="20" customHeight="1">
      <c r="B18" s="29" t="inlineStr">
        <is>
          <t>Вывод: При t = 800 ч: λ = 0,002174 1/ч, P(800) = 0,1757, f(800) = 0,000382 1/ч.</t>
        </is>
      </c>
      <c r="C18" s="30" t="n"/>
      <c r="D18" s="30" t="n"/>
      <c r="E18" s="30" t="n"/>
      <c r="F18" s="30" t="n"/>
      <c r="G18" s="30" t="n"/>
    </row>
    <row r="20" ht="20" customHeight="1">
      <c r="B20" s="20" t="inlineStr">
        <is>
          <t>Задание 7. Система управления из 6000 элементов (T = 50 ч)</t>
        </is>
      </c>
      <c r="C20" s="21" t="n"/>
      <c r="D20" s="21" t="n"/>
      <c r="E20" s="21" t="n"/>
      <c r="F20" s="21" t="n"/>
      <c r="G20" s="21" t="n"/>
    </row>
    <row r="21" ht="16" customHeight="1">
      <c r="B21" s="22" t="inlineStr">
        <is>
          <t>Текст задания: Система управления состоит из 6000 последовательных элементов с λср = 0,2∙10⁻⁶ ч⁻¹. Определить Pc(50) и mtc.</t>
        </is>
      </c>
      <c r="C21" s="23" t="n"/>
      <c r="D21" s="23" t="n"/>
      <c r="E21" s="23" t="n"/>
      <c r="F21" s="23" t="n"/>
      <c r="G21" s="23" t="n"/>
    </row>
    <row r="22" ht="16" customHeight="1">
      <c r="B22" s="23" t="n"/>
      <c r="C22" s="23" t="n"/>
      <c r="D22" s="23" t="n"/>
      <c r="E22" s="23" t="n"/>
      <c r="F22" s="23" t="n"/>
      <c r="G22" s="23" t="n"/>
    </row>
    <row r="23">
      <c r="B23" s="24" t="inlineStr">
        <is>
          <t>1. Исходные параметры</t>
        </is>
      </c>
    </row>
    <row r="24" ht="18" customHeight="1">
      <c r="B24" s="6" t="inlineStr">
        <is>
          <t>Наименование</t>
        </is>
      </c>
      <c r="C24" s="6" t="inlineStr">
        <is>
          <t>Символ</t>
        </is>
      </c>
      <c r="D24" s="6" t="inlineStr">
        <is>
          <t>Значение</t>
        </is>
      </c>
      <c r="E24" s="6" t="inlineStr">
        <is>
          <t>Размерность</t>
        </is>
      </c>
    </row>
    <row r="25" ht="18" customHeight="1">
      <c r="B25" s="25" t="inlineStr">
        <is>
          <t>Количество элементов n</t>
        </is>
      </c>
      <c r="C25" s="7" t="inlineStr">
        <is>
          <t>n</t>
        </is>
      </c>
      <c r="D25" s="26" t="n">
        <v>6000</v>
      </c>
      <c r="E25" s="11" t="inlineStr">
        <is>
          <t>шт.</t>
        </is>
      </c>
    </row>
    <row r="26" ht="18" customHeight="1">
      <c r="B26" s="25" t="inlineStr">
        <is>
          <t>Интенсивность элемента λср</t>
        </is>
      </c>
      <c r="C26" s="7" t="inlineStr">
        <is>
          <t>l_elem</t>
        </is>
      </c>
      <c r="D26" s="31" t="n">
        <v>2e-07</v>
      </c>
      <c r="E26" s="11" t="inlineStr">
        <is>
          <t>1/ч</t>
        </is>
      </c>
    </row>
    <row r="27" ht="18" customHeight="1">
      <c r="B27" s="25" t="inlineStr">
        <is>
          <t>Время T</t>
        </is>
      </c>
      <c r="C27" s="7" t="inlineStr">
        <is>
          <t>T</t>
        </is>
      </c>
      <c r="D27" s="26" t="n">
        <v>50</v>
      </c>
      <c r="E27" s="11" t="inlineStr">
        <is>
          <t>ч</t>
        </is>
      </c>
    </row>
    <row r="29">
      <c r="B29" s="24" t="inlineStr">
        <is>
          <t>2. Аналитический расчет характеристик</t>
        </is>
      </c>
    </row>
    <row r="30" ht="18" customHeight="1">
      <c r="B30" s="6" t="inlineStr">
        <is>
          <t>Искомый показатель</t>
        </is>
      </c>
      <c r="C30" s="6" t="inlineStr">
        <is>
          <t>Матем. формула</t>
        </is>
      </c>
      <c r="D30" s="6" t="inlineStr">
        <is>
          <t>Формула в Excel</t>
        </is>
      </c>
      <c r="E30" s="6" t="inlineStr">
        <is>
          <t>Значение</t>
        </is>
      </c>
      <c r="F30" s="6" t="inlineStr">
        <is>
          <t>Размерность</t>
        </is>
      </c>
    </row>
    <row r="31" ht="19" customHeight="1">
      <c r="B31" s="25" t="inlineStr">
        <is>
          <t>Интенсивность отказов системы λc</t>
        </is>
      </c>
      <c r="C31" s="27" t="inlineStr">
        <is>
          <t>n · λср</t>
        </is>
      </c>
      <c r="D31" s="28">
        <f>D25*D26</f>
        <v/>
      </c>
      <c r="E31" s="10">
        <f>D25*D26</f>
        <v/>
      </c>
      <c r="F31" s="11" t="inlineStr">
        <is>
          <t>1/ч</t>
        </is>
      </c>
    </row>
    <row r="32" ht="19" customHeight="1">
      <c r="B32" s="25" t="inlineStr">
        <is>
          <t>Вероятность безотказной работы Pc</t>
        </is>
      </c>
      <c r="C32" s="27" t="inlineStr">
        <is>
          <t>exp(-λc·T)</t>
        </is>
      </c>
      <c r="D32" s="28">
        <f>EXP(-E31*D27)</f>
        <v/>
      </c>
      <c r="E32" s="15">
        <f>EXP(-E31*D27)</f>
        <v/>
      </c>
      <c r="F32" s="11" t="inlineStr">
        <is>
          <t>—</t>
        </is>
      </c>
    </row>
    <row r="33" ht="19" customHeight="1">
      <c r="B33" s="25" t="inlineStr">
        <is>
          <t>Среднее время работы системы mtc</t>
        </is>
      </c>
      <c r="C33" s="27" t="inlineStr">
        <is>
          <t>1 / λc</t>
        </is>
      </c>
      <c r="D33" s="28">
        <f>1/E31</f>
        <v/>
      </c>
      <c r="E33" s="17">
        <f>1/E31</f>
        <v/>
      </c>
      <c r="F33" s="11" t="inlineStr">
        <is>
          <t>ч</t>
        </is>
      </c>
    </row>
    <row r="34" ht="20" customHeight="1">
      <c r="B34" s="29" t="inlineStr">
        <is>
          <t>Вывод: Pc(50) = 0,9418 (94,18%); средняя наработка mtc = 833,33 ч.</t>
        </is>
      </c>
      <c r="C34" s="30" t="n"/>
      <c r="D34" s="30" t="n"/>
      <c r="E34" s="30" t="n"/>
      <c r="F34" s="30" t="n"/>
      <c r="G34" s="30" t="n"/>
    </row>
    <row r="36" ht="20" customHeight="1">
      <c r="B36" s="20" t="inlineStr">
        <is>
          <t>Задание 8. Система управления из 5000 элементов (T = 120 ч)</t>
        </is>
      </c>
      <c r="C36" s="21" t="n"/>
      <c r="D36" s="21" t="n"/>
      <c r="E36" s="21" t="n"/>
      <c r="F36" s="21" t="n"/>
      <c r="G36" s="21" t="n"/>
    </row>
    <row r="37" ht="16" customHeight="1">
      <c r="B37" s="22" t="inlineStr">
        <is>
          <t>Текст задания: Система управления состоит из 5000 последовательных элементов с λср = 0,3∙10⁻⁶ ч⁻¹. Определить Pc(120) и mtc.</t>
        </is>
      </c>
      <c r="C37" s="23" t="n"/>
      <c r="D37" s="23" t="n"/>
      <c r="E37" s="23" t="n"/>
      <c r="F37" s="23" t="n"/>
      <c r="G37" s="23" t="n"/>
    </row>
    <row r="38" ht="16" customHeight="1">
      <c r="B38" s="23" t="n"/>
      <c r="C38" s="23" t="n"/>
      <c r="D38" s="23" t="n"/>
      <c r="E38" s="23" t="n"/>
      <c r="F38" s="23" t="n"/>
      <c r="G38" s="23" t="n"/>
    </row>
    <row r="39">
      <c r="B39" s="24" t="inlineStr">
        <is>
          <t>1. Исходные параметры</t>
        </is>
      </c>
    </row>
    <row r="40" ht="18" customHeight="1">
      <c r="B40" s="6" t="inlineStr">
        <is>
          <t>Наименование</t>
        </is>
      </c>
      <c r="C40" s="6" t="inlineStr">
        <is>
          <t>Символ</t>
        </is>
      </c>
      <c r="D40" s="6" t="inlineStr">
        <is>
          <t>Значение</t>
        </is>
      </c>
      <c r="E40" s="6" t="inlineStr">
        <is>
          <t>Размерность</t>
        </is>
      </c>
    </row>
    <row r="41" ht="18" customHeight="1">
      <c r="B41" s="25" t="inlineStr">
        <is>
          <t>Количество элементов n</t>
        </is>
      </c>
      <c r="C41" s="7" t="inlineStr">
        <is>
          <t>n</t>
        </is>
      </c>
      <c r="D41" s="26" t="n">
        <v>5000</v>
      </c>
      <c r="E41" s="11" t="inlineStr">
        <is>
          <t>шт.</t>
        </is>
      </c>
    </row>
    <row r="42" ht="18" customHeight="1">
      <c r="B42" s="25" t="inlineStr">
        <is>
          <t>Интенсивность элемента λср</t>
        </is>
      </c>
      <c r="C42" s="7" t="inlineStr">
        <is>
          <t>l_elem</t>
        </is>
      </c>
      <c r="D42" s="31" t="n">
        <v>3e-07</v>
      </c>
      <c r="E42" s="11" t="inlineStr">
        <is>
          <t>1/ч</t>
        </is>
      </c>
    </row>
    <row r="43" ht="18" customHeight="1">
      <c r="B43" s="25" t="inlineStr">
        <is>
          <t>Время T</t>
        </is>
      </c>
      <c r="C43" s="7" t="inlineStr">
        <is>
          <t>T</t>
        </is>
      </c>
      <c r="D43" s="26" t="n">
        <v>120</v>
      </c>
      <c r="E43" s="11" t="inlineStr">
        <is>
          <t>ч</t>
        </is>
      </c>
    </row>
    <row r="45">
      <c r="B45" s="24" t="inlineStr">
        <is>
          <t>2. Аналитический расчет характеристик</t>
        </is>
      </c>
    </row>
    <row r="46" ht="18" customHeight="1">
      <c r="B46" s="6" t="inlineStr">
        <is>
          <t>Искомый показатель</t>
        </is>
      </c>
      <c r="C46" s="6" t="inlineStr">
        <is>
          <t>Матем. формула</t>
        </is>
      </c>
      <c r="D46" s="6" t="inlineStr">
        <is>
          <t>Формула в Excel</t>
        </is>
      </c>
      <c r="E46" s="6" t="inlineStr">
        <is>
          <t>Значение</t>
        </is>
      </c>
      <c r="F46" s="6" t="inlineStr">
        <is>
          <t>Размерность</t>
        </is>
      </c>
    </row>
    <row r="47" ht="19" customHeight="1">
      <c r="B47" s="25" t="inlineStr">
        <is>
          <t>Интенсивность отказов системы λc</t>
        </is>
      </c>
      <c r="C47" s="27" t="inlineStr">
        <is>
          <t>n · λср</t>
        </is>
      </c>
      <c r="D47" s="28">
        <f>D41*D42</f>
        <v/>
      </c>
      <c r="E47" s="10">
        <f>D41*D42</f>
        <v/>
      </c>
      <c r="F47" s="11" t="inlineStr">
        <is>
          <t>1/ч</t>
        </is>
      </c>
    </row>
    <row r="48" ht="19" customHeight="1">
      <c r="B48" s="25" t="inlineStr">
        <is>
          <t>Вероятность безотказной работы Pc</t>
        </is>
      </c>
      <c r="C48" s="27" t="inlineStr">
        <is>
          <t>exp(-λc·T)</t>
        </is>
      </c>
      <c r="D48" s="28">
        <f>EXP(-E47*D43)</f>
        <v/>
      </c>
      <c r="E48" s="15">
        <f>EXP(-E47*D43)</f>
        <v/>
      </c>
      <c r="F48" s="11" t="inlineStr">
        <is>
          <t>—</t>
        </is>
      </c>
    </row>
    <row r="49" ht="19" customHeight="1">
      <c r="B49" s="25" t="inlineStr">
        <is>
          <t>Среднее время работы системы mtc</t>
        </is>
      </c>
      <c r="C49" s="27" t="inlineStr">
        <is>
          <t>1 / λc</t>
        </is>
      </c>
      <c r="D49" s="28">
        <f>1/E47</f>
        <v/>
      </c>
      <c r="E49" s="17">
        <f>1/E47</f>
        <v/>
      </c>
      <c r="F49" s="11" t="inlineStr">
        <is>
          <t>ч</t>
        </is>
      </c>
    </row>
    <row r="50" ht="20" customHeight="1">
      <c r="B50" s="29" t="inlineStr">
        <is>
          <t>Вывод: Pc(120) = 0,8353 (83,53%); средняя наработка mtc = 666,67 ч.</t>
        </is>
      </c>
      <c r="C50" s="30" t="n"/>
      <c r="D50" s="30" t="n"/>
      <c r="E50" s="30" t="n"/>
      <c r="F50" s="30" t="n"/>
      <c r="G50" s="30" t="n"/>
    </row>
    <row r="52" ht="20" customHeight="1">
      <c r="B52" s="20" t="inlineStr">
        <is>
          <t>Задание 9. Электронная машина из 200000 элементов (t = 24 ч)</t>
        </is>
      </c>
      <c r="C52" s="21" t="n"/>
      <c r="D52" s="21" t="n"/>
      <c r="E52" s="21" t="n"/>
      <c r="F52" s="21" t="n"/>
      <c r="G52" s="21" t="n"/>
    </row>
    <row r="53" ht="16" customHeight="1">
      <c r="B53" s="22" t="inlineStr">
        <is>
          <t>Текст задания: Невосстанавливаемая машина состоит из 200000 последовательных элементов с λср = 0,3∙10⁻⁶ ч⁻¹. Найти Pc(24) за сутки и mtc.</t>
        </is>
      </c>
      <c r="C53" s="23" t="n"/>
      <c r="D53" s="23" t="n"/>
      <c r="E53" s="23" t="n"/>
      <c r="F53" s="23" t="n"/>
      <c r="G53" s="23" t="n"/>
    </row>
    <row r="54" ht="16" customHeight="1">
      <c r="B54" s="23" t="n"/>
      <c r="C54" s="23" t="n"/>
      <c r="D54" s="23" t="n"/>
      <c r="E54" s="23" t="n"/>
      <c r="F54" s="23" t="n"/>
      <c r="G54" s="23" t="n"/>
    </row>
    <row r="55">
      <c r="B55" s="24" t="inlineStr">
        <is>
          <t>1. Исходные параметры</t>
        </is>
      </c>
    </row>
    <row r="56" ht="18" customHeight="1">
      <c r="B56" s="6" t="inlineStr">
        <is>
          <t>Наименование</t>
        </is>
      </c>
      <c r="C56" s="6" t="inlineStr">
        <is>
          <t>Символ</t>
        </is>
      </c>
      <c r="D56" s="6" t="inlineStr">
        <is>
          <t>Значение</t>
        </is>
      </c>
      <c r="E56" s="6" t="inlineStr">
        <is>
          <t>Размерность</t>
        </is>
      </c>
    </row>
    <row r="57" ht="18" customHeight="1">
      <c r="B57" s="25" t="inlineStr">
        <is>
          <t>Количество элементов n</t>
        </is>
      </c>
      <c r="C57" s="7" t="inlineStr">
        <is>
          <t>n</t>
        </is>
      </c>
      <c r="D57" s="26" t="n">
        <v>200000</v>
      </c>
      <c r="E57" s="11" t="inlineStr">
        <is>
          <t>шт.</t>
        </is>
      </c>
    </row>
    <row r="58" ht="18" customHeight="1">
      <c r="B58" s="25" t="inlineStr">
        <is>
          <t>Интенсивность элемента λср</t>
        </is>
      </c>
      <c r="C58" s="7" t="inlineStr">
        <is>
          <t>l_elem</t>
        </is>
      </c>
      <c r="D58" s="31" t="n">
        <v>3e-07</v>
      </c>
      <c r="E58" s="11" t="inlineStr">
        <is>
          <t>1/ч</t>
        </is>
      </c>
    </row>
    <row r="59" ht="18" customHeight="1">
      <c r="B59" s="25" t="inlineStr">
        <is>
          <t>Суточный интервал t</t>
        </is>
      </c>
      <c r="C59" s="7" t="inlineStr">
        <is>
          <t>t</t>
        </is>
      </c>
      <c r="D59" s="26" t="n">
        <v>24</v>
      </c>
      <c r="E59" s="11" t="inlineStr">
        <is>
          <t>ч</t>
        </is>
      </c>
    </row>
    <row r="61">
      <c r="B61" s="24" t="inlineStr">
        <is>
          <t>2. Аналитический расчет характеристик</t>
        </is>
      </c>
    </row>
    <row r="62" ht="18" customHeight="1">
      <c r="B62" s="6" t="inlineStr">
        <is>
          <t>Искомый показатель</t>
        </is>
      </c>
      <c r="C62" s="6" t="inlineStr">
        <is>
          <t>Матем. формула</t>
        </is>
      </c>
      <c r="D62" s="6" t="inlineStr">
        <is>
          <t>Формула в Excel</t>
        </is>
      </c>
      <c r="E62" s="6" t="inlineStr">
        <is>
          <t>Значение</t>
        </is>
      </c>
      <c r="F62" s="6" t="inlineStr">
        <is>
          <t>Размерность</t>
        </is>
      </c>
    </row>
    <row r="63" ht="19" customHeight="1">
      <c r="B63" s="25" t="inlineStr">
        <is>
          <t>Интенсивность отказов машины λc</t>
        </is>
      </c>
      <c r="C63" s="27" t="inlineStr">
        <is>
          <t>n · λср</t>
        </is>
      </c>
      <c r="D63" s="28">
        <f>D57*D58</f>
        <v/>
      </c>
      <c r="E63" s="10">
        <f>D57*D58</f>
        <v/>
      </c>
      <c r="F63" s="11" t="inlineStr">
        <is>
          <t>1/ч</t>
        </is>
      </c>
    </row>
    <row r="64" ht="19" customHeight="1">
      <c r="B64" s="25" t="inlineStr">
        <is>
          <t>Вероятность безотказной работы Pc</t>
        </is>
      </c>
      <c r="C64" s="27" t="inlineStr">
        <is>
          <t>exp(-λc·t)</t>
        </is>
      </c>
      <c r="D64" s="28">
        <f>EXP(-E63*D59)</f>
        <v/>
      </c>
      <c r="E64" s="15">
        <f>EXP(-E63*D59)</f>
        <v/>
      </c>
      <c r="F64" s="11" t="inlineStr">
        <is>
          <t>—</t>
        </is>
      </c>
    </row>
    <row r="65" ht="19" customHeight="1">
      <c r="B65" s="25" t="inlineStr">
        <is>
          <t>Среднее время работы машины mtc</t>
        </is>
      </c>
      <c r="C65" s="27" t="inlineStr">
        <is>
          <t>1 / λc</t>
        </is>
      </c>
      <c r="D65" s="28">
        <f>1/E63</f>
        <v/>
      </c>
      <c r="E65" s="17">
        <f>1/E63</f>
        <v/>
      </c>
      <c r="F65" s="11" t="inlineStr">
        <is>
          <t>ч</t>
        </is>
      </c>
    </row>
    <row r="66" ht="20" customHeight="1">
      <c r="B66" s="29" t="inlineStr">
        <is>
          <t>Вывод: Pc(24) = 0,2369; средняя наработка mtc = 16,67 ч (16 ч 40 мин).</t>
        </is>
      </c>
      <c r="C66" s="30" t="n"/>
      <c r="D66" s="30" t="n"/>
      <c r="E66" s="30" t="n"/>
      <c r="F66" s="30" t="n"/>
      <c r="G66" s="30" t="n"/>
    </row>
    <row r="68" ht="20" customHeight="1">
      <c r="B68" s="20" t="inlineStr">
        <is>
          <t>Задание 10. Расчет Pc(t), qc(t), fc(t), mtc для системы из 12600 элементов</t>
        </is>
      </c>
      <c r="C68" s="21" t="n"/>
      <c r="D68" s="21" t="n"/>
      <c r="E68" s="21" t="n"/>
      <c r="F68" s="21" t="n"/>
      <c r="G68" s="21" t="n"/>
    </row>
    <row r="69" ht="16" customHeight="1">
      <c r="B69" s="22" t="inlineStr">
        <is>
          <t>Текст задания: Система состоит из 12600 элементов с λср = 0,32∙10⁻⁶ ч⁻¹. Определить Pc(50), qc(50), fc(50), mtc для t = 50 ч.</t>
        </is>
      </c>
      <c r="C69" s="23" t="n"/>
      <c r="D69" s="23" t="n"/>
      <c r="E69" s="23" t="n"/>
      <c r="F69" s="23" t="n"/>
      <c r="G69" s="23" t="n"/>
    </row>
    <row r="70" ht="16" customHeight="1">
      <c r="B70" s="23" t="n"/>
      <c r="C70" s="23" t="n"/>
      <c r="D70" s="23" t="n"/>
      <c r="E70" s="23" t="n"/>
      <c r="F70" s="23" t="n"/>
      <c r="G70" s="23" t="n"/>
    </row>
    <row r="71">
      <c r="B71" s="24" t="inlineStr">
        <is>
          <t>1. Исходные параметры</t>
        </is>
      </c>
    </row>
    <row r="72" ht="18" customHeight="1">
      <c r="B72" s="6" t="inlineStr">
        <is>
          <t>Наименование</t>
        </is>
      </c>
      <c r="C72" s="6" t="inlineStr">
        <is>
          <t>Символ</t>
        </is>
      </c>
      <c r="D72" s="6" t="inlineStr">
        <is>
          <t>Значение</t>
        </is>
      </c>
      <c r="E72" s="6" t="inlineStr">
        <is>
          <t>Размерность</t>
        </is>
      </c>
    </row>
    <row r="73" ht="18" customHeight="1">
      <c r="B73" s="25" t="inlineStr">
        <is>
          <t>Количество элементов n</t>
        </is>
      </c>
      <c r="C73" s="7" t="inlineStr">
        <is>
          <t>n</t>
        </is>
      </c>
      <c r="D73" s="26" t="n">
        <v>12600</v>
      </c>
      <c r="E73" s="11" t="inlineStr">
        <is>
          <t>шт.</t>
        </is>
      </c>
    </row>
    <row r="74" ht="18" customHeight="1">
      <c r="B74" s="25" t="inlineStr">
        <is>
          <t>Интенсивность элемента λср</t>
        </is>
      </c>
      <c r="C74" s="7" t="inlineStr">
        <is>
          <t>l_elem</t>
        </is>
      </c>
      <c r="D74" s="31" t="n">
        <v>3.2e-07</v>
      </c>
      <c r="E74" s="11" t="inlineStr">
        <is>
          <t>1/ч</t>
        </is>
      </c>
    </row>
    <row r="75" ht="18" customHeight="1">
      <c r="B75" s="25" t="inlineStr">
        <is>
          <t>Время t</t>
        </is>
      </c>
      <c r="C75" s="7" t="inlineStr">
        <is>
          <t>t</t>
        </is>
      </c>
      <c r="D75" s="26" t="n">
        <v>50</v>
      </c>
      <c r="E75" s="11" t="inlineStr">
        <is>
          <t>ч</t>
        </is>
      </c>
    </row>
    <row r="77">
      <c r="B77" s="24" t="inlineStr">
        <is>
          <t>2. Аналитический расчет характеристик</t>
        </is>
      </c>
    </row>
    <row r="78" ht="18" customHeight="1">
      <c r="B78" s="6" t="inlineStr">
        <is>
          <t>Искомый показатель</t>
        </is>
      </c>
      <c r="C78" s="6" t="inlineStr">
        <is>
          <t>Матем. формула</t>
        </is>
      </c>
      <c r="D78" s="6" t="inlineStr">
        <is>
          <t>Формула в Excel</t>
        </is>
      </c>
      <c r="E78" s="6" t="inlineStr">
        <is>
          <t>Значение</t>
        </is>
      </c>
      <c r="F78" s="6" t="inlineStr">
        <is>
          <t>Размерность</t>
        </is>
      </c>
    </row>
    <row r="79" ht="19" customHeight="1">
      <c r="B79" s="25" t="inlineStr">
        <is>
          <t>Интенсивность отказов системы λc</t>
        </is>
      </c>
      <c r="C79" s="27" t="inlineStr">
        <is>
          <t>n · λср</t>
        </is>
      </c>
      <c r="D79" s="28">
        <f>D73*D74</f>
        <v/>
      </c>
      <c r="E79" s="10">
        <f>D73*D74</f>
        <v/>
      </c>
      <c r="F79" s="11" t="inlineStr">
        <is>
          <t>1/ч</t>
        </is>
      </c>
    </row>
    <row r="80" ht="19" customHeight="1">
      <c r="B80" s="25" t="inlineStr">
        <is>
          <t>Вероятность безотказной работы Pc</t>
        </is>
      </c>
      <c r="C80" s="27" t="inlineStr">
        <is>
          <t>exp(-λc·t)</t>
        </is>
      </c>
      <c r="D80" s="28">
        <f>EXP(-E79*D75)</f>
        <v/>
      </c>
      <c r="E80" s="15">
        <f>EXP(-E79*D75)</f>
        <v/>
      </c>
      <c r="F80" s="11" t="inlineStr">
        <is>
          <t>—</t>
        </is>
      </c>
    </row>
    <row r="81" ht="19" customHeight="1">
      <c r="B81" s="25" t="inlineStr">
        <is>
          <t>Вероятность отказа qc</t>
        </is>
      </c>
      <c r="C81" s="27" t="inlineStr">
        <is>
          <t>1 - Pc</t>
        </is>
      </c>
      <c r="D81" s="28">
        <f>1-E80</f>
        <v/>
      </c>
      <c r="E81" s="15">
        <f>1-E80</f>
        <v/>
      </c>
      <c r="F81" s="11" t="inlineStr">
        <is>
          <t>—</t>
        </is>
      </c>
    </row>
    <row r="82" ht="19" customHeight="1">
      <c r="B82" s="25" t="inlineStr">
        <is>
          <t>Частота отказов fc</t>
        </is>
      </c>
      <c r="C82" s="27" t="inlineStr">
        <is>
          <t>λc · Pc</t>
        </is>
      </c>
      <c r="D82" s="28">
        <f>E79*E80</f>
        <v/>
      </c>
      <c r="E82" s="10">
        <f>E79*E80</f>
        <v/>
      </c>
      <c r="F82" s="11" t="inlineStr">
        <is>
          <t>1/ч</t>
        </is>
      </c>
    </row>
    <row r="83" ht="19" customHeight="1">
      <c r="B83" s="25" t="inlineStr">
        <is>
          <t>Средняя наработка системы mtc</t>
        </is>
      </c>
      <c r="C83" s="27" t="inlineStr">
        <is>
          <t>1 / λc</t>
        </is>
      </c>
      <c r="D83" s="28">
        <f>1/E79</f>
        <v/>
      </c>
      <c r="E83" s="17">
        <f>1/E79</f>
        <v/>
      </c>
      <c r="F83" s="11" t="inlineStr">
        <is>
          <t>ч</t>
        </is>
      </c>
    </row>
    <row r="84" ht="20" customHeight="1">
      <c r="B84" s="29" t="inlineStr">
        <is>
          <t>Вывод: Pc(50) = 0,8174; qc(50) = 0,1826; fc(50) = 0,003296 1/ч; mtc = 248,02 ч.</t>
        </is>
      </c>
      <c r="C84" s="30" t="n"/>
      <c r="D84" s="30" t="n"/>
      <c r="E84" s="30" t="n"/>
      <c r="F84" s="30" t="n"/>
      <c r="G84" s="30" t="n"/>
    </row>
    <row r="86" ht="20" customHeight="1">
      <c r="B86" s="20" t="inlineStr">
        <is>
          <t>Задание 11. Характеристики прибора с λ = 0,1∙10⁻⁶ ч⁻¹ (t = 180 ч)</t>
        </is>
      </c>
      <c r="C86" s="21" t="n"/>
      <c r="D86" s="21" t="n"/>
      <c r="E86" s="21" t="n"/>
      <c r="F86" s="21" t="n"/>
      <c r="G86" s="21" t="n"/>
    </row>
    <row r="87" ht="16" customHeight="1">
      <c r="B87" s="22" t="inlineStr">
        <is>
          <t>Текст задания: Время работы прибора подчинено экспоненциальному закону с λ = 0,1∙10⁻⁶ ч⁻¹; t = 180 ч. Определить p(180), q(180), f(180), mt.</t>
        </is>
      </c>
      <c r="C87" s="23" t="n"/>
      <c r="D87" s="23" t="n"/>
      <c r="E87" s="23" t="n"/>
      <c r="F87" s="23" t="n"/>
      <c r="G87" s="23" t="n"/>
    </row>
    <row r="88" ht="16" customHeight="1">
      <c r="B88" s="23" t="n"/>
      <c r="C88" s="23" t="n"/>
      <c r="D88" s="23" t="n"/>
      <c r="E88" s="23" t="n"/>
      <c r="F88" s="23" t="n"/>
      <c r="G88" s="23" t="n"/>
    </row>
    <row r="89">
      <c r="B89" s="24" t="inlineStr">
        <is>
          <t>1. Исходные параметры</t>
        </is>
      </c>
    </row>
    <row r="90" ht="18" customHeight="1">
      <c r="B90" s="6" t="inlineStr">
        <is>
          <t>Наименование</t>
        </is>
      </c>
      <c r="C90" s="6" t="inlineStr">
        <is>
          <t>Символ</t>
        </is>
      </c>
      <c r="D90" s="6" t="inlineStr">
        <is>
          <t>Значение</t>
        </is>
      </c>
      <c r="E90" s="6" t="inlineStr">
        <is>
          <t>Размерность</t>
        </is>
      </c>
    </row>
    <row r="91" ht="18" customHeight="1">
      <c r="B91" s="25" t="inlineStr">
        <is>
          <t>Параметр λ</t>
        </is>
      </c>
      <c r="C91" s="7" t="inlineStr">
        <is>
          <t>l_val</t>
        </is>
      </c>
      <c r="D91" s="31" t="n">
        <v>1e-07</v>
      </c>
      <c r="E91" s="11" t="inlineStr">
        <is>
          <t>1/ч</t>
        </is>
      </c>
    </row>
    <row r="92" ht="18" customHeight="1">
      <c r="B92" s="25" t="inlineStr">
        <is>
          <t>Время работы t</t>
        </is>
      </c>
      <c r="C92" s="7" t="inlineStr">
        <is>
          <t>t</t>
        </is>
      </c>
      <c r="D92" s="26" t="n">
        <v>180</v>
      </c>
      <c r="E92" s="11" t="inlineStr">
        <is>
          <t>ч</t>
        </is>
      </c>
    </row>
    <row r="94">
      <c r="B94" s="24" t="inlineStr">
        <is>
          <t>2. Аналитический расчет характеристик</t>
        </is>
      </c>
    </row>
    <row r="95" ht="18" customHeight="1">
      <c r="B95" s="6" t="inlineStr">
        <is>
          <t>Искомый показатель</t>
        </is>
      </c>
      <c r="C95" s="6" t="inlineStr">
        <is>
          <t>Матем. формула</t>
        </is>
      </c>
      <c r="D95" s="6" t="inlineStr">
        <is>
          <t>Формула в Excel</t>
        </is>
      </c>
      <c r="E95" s="6" t="inlineStr">
        <is>
          <t>Значение</t>
        </is>
      </c>
      <c r="F95" s="6" t="inlineStr">
        <is>
          <t>Размерность</t>
        </is>
      </c>
    </row>
    <row r="96" ht="19" customHeight="1">
      <c r="B96" s="25" t="inlineStr">
        <is>
          <t>Вероятность безотказной работы p</t>
        </is>
      </c>
      <c r="C96" s="27" t="inlineStr">
        <is>
          <t>exp(-λ·t)</t>
        </is>
      </c>
      <c r="D96" s="28">
        <f>EXP(-D91*D92)</f>
        <v/>
      </c>
      <c r="E96" s="10">
        <f>EXP(-D91*D92)</f>
        <v/>
      </c>
      <c r="F96" s="11" t="inlineStr">
        <is>
          <t>—</t>
        </is>
      </c>
    </row>
    <row r="97" ht="19" customHeight="1">
      <c r="B97" s="25" t="inlineStr">
        <is>
          <t>Вероятность отказа q</t>
        </is>
      </c>
      <c r="C97" s="27" t="inlineStr">
        <is>
          <t>1 - p</t>
        </is>
      </c>
      <c r="D97" s="28">
        <f>1-E96</f>
        <v/>
      </c>
      <c r="E97" s="10">
        <f>1-E96</f>
        <v/>
      </c>
      <c r="F97" s="11" t="inlineStr">
        <is>
          <t>—</t>
        </is>
      </c>
    </row>
    <row r="98" ht="19" customHeight="1">
      <c r="B98" s="25" t="inlineStr">
        <is>
          <t>Частота отказов f</t>
        </is>
      </c>
      <c r="C98" s="27" t="inlineStr">
        <is>
          <t>λ · p</t>
        </is>
      </c>
      <c r="D98" s="28">
        <f>D91*E96</f>
        <v/>
      </c>
      <c r="E98" s="18">
        <f>D91*E96</f>
        <v/>
      </c>
      <c r="F98" s="11" t="inlineStr">
        <is>
          <t>1/ч</t>
        </is>
      </c>
    </row>
    <row r="99" ht="19" customHeight="1">
      <c r="B99" s="25" t="inlineStr">
        <is>
          <t>Средняя наработка mt</t>
        </is>
      </c>
      <c r="C99" s="27" t="inlineStr">
        <is>
          <t>1 / λ</t>
        </is>
      </c>
      <c r="D99" s="28">
        <f>1/D91</f>
        <v/>
      </c>
      <c r="E99" s="19">
        <f>1/D91</f>
        <v/>
      </c>
      <c r="F99" s="11" t="inlineStr">
        <is>
          <t>ч</t>
        </is>
      </c>
    </row>
    <row r="100" ht="20" customHeight="1">
      <c r="B100" s="29" t="inlineStr">
        <is>
          <t>Вывод: p(180) = 0,999982; q(180) = 0,000018; f(180) = 1,00·10⁻⁷ 1/ч; mt = 10 000 000 ч.</t>
        </is>
      </c>
      <c r="C100" s="30" t="n"/>
      <c r="D100" s="30" t="n"/>
      <c r="E100" s="30" t="n"/>
      <c r="F100" s="30" t="n"/>
      <c r="G100" s="30" t="n"/>
    </row>
    <row r="102" ht="20" customHeight="1">
      <c r="B102" s="20" t="inlineStr">
        <is>
          <t>Задание 12. Система из пяти последовательных приборов</t>
        </is>
      </c>
      <c r="C102" s="21" t="n"/>
      <c r="D102" s="21" t="n"/>
      <c r="E102" s="21" t="n"/>
      <c r="F102" s="21" t="n"/>
      <c r="G102" s="21" t="n"/>
    </row>
    <row r="103" ht="16" customHeight="1">
      <c r="B103" s="22" t="inlineStr">
        <is>
          <t>Текст задания: Система состоит из 5 приборов: mt1 = 83 ч, mt2 = 220 ч, mt3 = 280 ч, mt4 = 400 ч, mt5 = 700 ч. Экспоненциальный закон. Определить mtc системы.</t>
        </is>
      </c>
      <c r="C103" s="23" t="n"/>
      <c r="D103" s="23" t="n"/>
      <c r="E103" s="23" t="n"/>
      <c r="F103" s="23" t="n"/>
      <c r="G103" s="23" t="n"/>
    </row>
    <row r="104" ht="16" customHeight="1">
      <c r="B104" s="23" t="n"/>
      <c r="C104" s="23" t="n"/>
      <c r="D104" s="23" t="n"/>
      <c r="E104" s="23" t="n"/>
      <c r="F104" s="23" t="n"/>
      <c r="G104" s="23" t="n"/>
    </row>
    <row r="105">
      <c r="B105" s="24" t="inlineStr">
        <is>
          <t>1. Исходные наработки и расчет интенсивностей</t>
        </is>
      </c>
    </row>
    <row r="106" ht="18" customHeight="1">
      <c r="B106" s="6" t="inlineStr">
        <is>
          <t>№ прибора</t>
        </is>
      </c>
      <c r="C106" s="6" t="inlineStr">
        <is>
          <t>Обозначение</t>
        </is>
      </c>
      <c r="D106" s="6" t="inlineStr">
        <is>
          <t>mt_i (ч)</t>
        </is>
      </c>
      <c r="E106" s="6" t="inlineStr">
        <is>
          <t>λ_i = 1/mt_i (1/ч)</t>
        </is>
      </c>
      <c r="F106" s="6" t="inlineStr">
        <is>
          <t>Описание</t>
        </is>
      </c>
    </row>
    <row r="107" ht="18" customHeight="1">
      <c r="B107" s="11" t="inlineStr">
        <is>
          <t>Прибор 1</t>
        </is>
      </c>
      <c r="C107" s="7" t="inlineStr">
        <is>
          <t>mt1</t>
        </is>
      </c>
      <c r="D107" s="26" t="n">
        <v>83</v>
      </c>
      <c r="E107" s="32">
        <f>1/D107</f>
        <v/>
      </c>
      <c r="F107" s="33" t="inlineStr">
        <is>
          <t>Прибор 1</t>
        </is>
      </c>
    </row>
    <row r="108" ht="18" customHeight="1">
      <c r="B108" s="11" t="inlineStr">
        <is>
          <t>Прибор 2</t>
        </is>
      </c>
      <c r="C108" s="7" t="inlineStr">
        <is>
          <t>mt2</t>
        </is>
      </c>
      <c r="D108" s="26" t="n">
        <v>220</v>
      </c>
      <c r="E108" s="32">
        <f>1/D108</f>
        <v/>
      </c>
      <c r="F108" s="33" t="inlineStr">
        <is>
          <t>Прибор 2</t>
        </is>
      </c>
    </row>
    <row r="109" ht="18" customHeight="1">
      <c r="B109" s="11" t="inlineStr">
        <is>
          <t>Прибор 3</t>
        </is>
      </c>
      <c r="C109" s="7" t="inlineStr">
        <is>
          <t>mt3</t>
        </is>
      </c>
      <c r="D109" s="26" t="n">
        <v>280</v>
      </c>
      <c r="E109" s="32">
        <f>1/D109</f>
        <v/>
      </c>
      <c r="F109" s="33" t="inlineStr">
        <is>
          <t>Прибор 3</t>
        </is>
      </c>
    </row>
    <row r="110" ht="18" customHeight="1">
      <c r="B110" s="11" t="inlineStr">
        <is>
          <t>Прибор 4</t>
        </is>
      </c>
      <c r="C110" s="7" t="inlineStr">
        <is>
          <t>mt4</t>
        </is>
      </c>
      <c r="D110" s="26" t="n">
        <v>400</v>
      </c>
      <c r="E110" s="32">
        <f>1/D110</f>
        <v/>
      </c>
      <c r="F110" s="33" t="inlineStr">
        <is>
          <t>Прибор 4</t>
        </is>
      </c>
    </row>
    <row r="111" ht="18" customHeight="1">
      <c r="B111" s="11" t="inlineStr">
        <is>
          <t>Прибор 5</t>
        </is>
      </c>
      <c r="C111" s="7" t="inlineStr">
        <is>
          <t>mt5</t>
        </is>
      </c>
      <c r="D111" s="26" t="n">
        <v>700</v>
      </c>
      <c r="E111" s="32">
        <f>1/D111</f>
        <v/>
      </c>
      <c r="F111" s="33" t="inlineStr">
        <is>
          <t>Прибор 5</t>
        </is>
      </c>
    </row>
    <row r="112">
      <c r="B112" s="34" t="inlineStr">
        <is>
          <t>Суммарная интенсивность λc = Σ λ_i :</t>
        </is>
      </c>
      <c r="C112" s="35" t="n"/>
      <c r="D112" s="35" t="n"/>
      <c r="E112" s="36">
        <f>SUM(E107:E111)</f>
        <v/>
      </c>
      <c r="F112" s="37" t="inlineStr">
        <is>
          <t>1/ч</t>
        </is>
      </c>
    </row>
    <row r="114">
      <c r="B114" s="24" t="inlineStr">
        <is>
          <t>2. Расчет среднего времени безотказной работы системы</t>
        </is>
      </c>
    </row>
    <row r="115" ht="18" customHeight="1">
      <c r="B115" s="6" t="inlineStr">
        <is>
          <t>Искомый показатель</t>
        </is>
      </c>
      <c r="C115" s="6" t="inlineStr">
        <is>
          <t>Матем. формула</t>
        </is>
      </c>
      <c r="D115" s="6" t="inlineStr">
        <is>
          <t>Формула в Excel</t>
        </is>
      </c>
      <c r="E115" s="6" t="inlineStr">
        <is>
          <t>Значение</t>
        </is>
      </c>
      <c r="F115" s="6" t="inlineStr">
        <is>
          <t>Размерность</t>
        </is>
      </c>
    </row>
    <row r="116" ht="19" customHeight="1">
      <c r="B116" s="25" t="inlineStr">
        <is>
          <t>Средняя наработка системы mtc</t>
        </is>
      </c>
      <c r="C116" s="27" t="inlineStr">
        <is>
          <t>1 / λc</t>
        </is>
      </c>
      <c r="D116" s="28">
        <f>1/E112</f>
        <v/>
      </c>
      <c r="E116" s="17">
        <f>1/E112</f>
        <v/>
      </c>
      <c r="F116" s="11" t="inlineStr">
        <is>
          <t>ч</t>
        </is>
      </c>
    </row>
    <row r="117" ht="20" customHeight="1">
      <c r="B117" s="29" t="inlineStr">
        <is>
          <t>Вывод: Интенсивность отказов системы λc = 0,024094 1/ч; средняя наработка системы mtc = 41,50 ч.</t>
        </is>
      </c>
      <c r="C117" s="30" t="n"/>
      <c r="D117" s="30" t="n"/>
      <c r="E117" s="30" t="n"/>
      <c r="F117" s="30" t="n"/>
      <c r="G117" s="30" t="n"/>
    </row>
  </sheetData>
  <mergeCells count="24">
    <mergeCell ref="B2:G2"/>
    <mergeCell ref="B117:G117"/>
    <mergeCell ref="B112:D112"/>
    <mergeCell ref="B34:G34"/>
    <mergeCell ref="B21:G22"/>
    <mergeCell ref="B84:G84"/>
    <mergeCell ref="B68:G68"/>
    <mergeCell ref="B20:G20"/>
    <mergeCell ref="B5:G5"/>
    <mergeCell ref="B36:G36"/>
    <mergeCell ref="B50:G50"/>
    <mergeCell ref="B100:G100"/>
    <mergeCell ref="B3:G3"/>
    <mergeCell ref="B69:G70"/>
    <mergeCell ref="B6:G7"/>
    <mergeCell ref="B66:G66"/>
    <mergeCell ref="B37:G38"/>
    <mergeCell ref="B53:G54"/>
    <mergeCell ref="B102:G102"/>
    <mergeCell ref="B87:G88"/>
    <mergeCell ref="B18:G18"/>
    <mergeCell ref="B103:G104"/>
    <mergeCell ref="B52:G52"/>
    <mergeCell ref="B86:G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2026-10-13T07:15:04Z</dcterms:created>
  <dcterms:modified xmlns:dcterms="http://purl.org/dc/terms/" xmlns:xsi="http://www.w3.org/2001/XMLSchema-instance" xsi:type="dcterms:W3CDTF">2026-10-13T07:15:04Z</dcterms:modified>
</cp:coreProperties>
</file>