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и Ответы" sheetId="1" state="visible" r:id="rId1"/>
    <sheet xmlns:r="http://schemas.openxmlformats.org/officeDocument/2006/relationships" name="Задачи 6-12" sheetId="2" state="visible" r:id="rId2"/>
    <sheet xmlns:r="http://schemas.openxmlformats.org/officeDocument/2006/relationships" name="Задачи 1-5" sheetId="3" state="visible" r:id="rId3"/>
    <sheet xmlns:r="http://schemas.openxmlformats.org/officeDocument/2006/relationships" name="Теория и форму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#,##0.####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1"/>
    </font>
    <font>
      <name val="Segoe UI"/>
      <color rgb="00E0E0E0"/>
      <sz val="10"/>
    </font>
    <font>
      <name val="Segoe UI"/>
      <b val="1"/>
      <color rgb="00FFFFFF"/>
      <sz val="11"/>
    </font>
    <font>
      <name val="Segoe UI"/>
      <i val="1"/>
      <color rgb="00595959"/>
      <sz val="9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color rgb="00262626"/>
      <sz val="10"/>
    </font>
    <font>
      <name val="Segoe UI"/>
      <b val="1"/>
      <color rgb="00262626"/>
      <sz val="10"/>
    </font>
    <font>
      <name val="Segoe UI"/>
      <i val="1"/>
      <color rgb="001F4E78"/>
      <sz val="10"/>
    </font>
    <font>
      <name val="Segoe UI"/>
      <b val="1"/>
      <color rgb="001E4620"/>
      <sz val="11"/>
    </font>
    <font>
      <name val="Segoe UI"/>
      <b val="1"/>
      <color rgb="001B365D"/>
      <sz val="12"/>
    </font>
    <font>
      <name val="Segoe UI"/>
      <color rgb="001F4E78"/>
      <sz val="9"/>
      <u val="single"/>
    </font>
    <font>
      <name val="Segoe UI"/>
      <b val="1"/>
      <color rgb="001E4620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335E99"/>
        <bgColor rgb="00335E9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70AD47"/>
      </left>
      <right style="thin">
        <color rgb="0070AD47"/>
      </right>
      <top style="thin">
        <color rgb="0070AD47"/>
      </top>
      <bottom style="thin">
        <color rgb="0070AD47"/>
      </bottom>
    </border>
    <border>
      <top style="medium">
        <color rgb="00385723"/>
      </top>
      <bottom style="medium">
        <color rgb="0038572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164" fontId="11" fillId="6" borderId="2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5" fontId="11" fillId="6" borderId="2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2" fontId="11" fillId="6" borderId="2" applyAlignment="1" pivotButton="0" quotePrefix="0" xfId="0">
      <alignment horizontal="right" vertical="center"/>
    </xf>
    <xf numFmtId="11" fontId="11" fillId="6" borderId="2" applyAlignment="1" pivotButton="0" quotePrefix="0" xfId="0">
      <alignment horizontal="right" vertical="center"/>
    </xf>
    <xf numFmtId="3" fontId="11" fillId="6" borderId="2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9" fillId="7" borderId="3" applyAlignment="1" pivotButton="0" quotePrefix="0" xfId="0">
      <alignment horizontal="left" vertical="center"/>
    </xf>
    <xf numFmtId="0" fontId="0" fillId="7" borderId="3" pivotButton="0" quotePrefix="0" xfId="0"/>
    <xf numFmtId="11" fontId="9" fillId="0" borderId="1" applyAlignment="1" pivotButton="0" quotePrefix="0" xfId="0">
      <alignment horizontal="right" vertical="center"/>
    </xf>
    <xf numFmtId="0" fontId="4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/>
    </xf>
    <xf numFmtId="0" fontId="9" fillId="8" borderId="4" applyAlignment="1" pivotButton="0" quotePrefix="0" xfId="0">
      <alignment horizontal="right" vertical="center"/>
    </xf>
    <xf numFmtId="0" fontId="0" fillId="8" borderId="4" pivotButton="0" quotePrefix="0" xfId="0"/>
    <xf numFmtId="164" fontId="11" fillId="8" borderId="4" applyAlignment="1" pivotButton="0" quotePrefix="0" xfId="0">
      <alignment horizontal="right" vertical="center"/>
    </xf>
    <xf numFmtId="0" fontId="9" fillId="8" borderId="4" applyAlignment="1" pivotButton="0" quotePrefix="0" xfId="0">
      <alignment horizontal="left" vertical="center"/>
    </xf>
    <xf numFmtId="166" fontId="9" fillId="0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76;&#1072;&#1095;&#1080; 6-12'!A6" TargetMode="External" Id="rId1"/><Relationship Type="http://schemas.openxmlformats.org/officeDocument/2006/relationships/hyperlink" Target="#'&#1047;&#1072;&#1076;&#1072;&#1095;&#1080; 6-12'!A6" TargetMode="External" Id="rId2"/><Relationship Type="http://schemas.openxmlformats.org/officeDocument/2006/relationships/hyperlink" Target="#'&#1047;&#1072;&#1076;&#1072;&#1095;&#1080; 6-12'!A6" TargetMode="External" Id="rId3"/><Relationship Type="http://schemas.openxmlformats.org/officeDocument/2006/relationships/hyperlink" Target="#'&#1047;&#1072;&#1076;&#1072;&#1095;&#1080; 6-12'!A24" TargetMode="External" Id="rId4"/><Relationship Type="http://schemas.openxmlformats.org/officeDocument/2006/relationships/hyperlink" Target="#'&#1047;&#1072;&#1076;&#1072;&#1095;&#1080; 6-12'!A24" TargetMode="External" Id="rId5"/><Relationship Type="http://schemas.openxmlformats.org/officeDocument/2006/relationships/hyperlink" Target="#'&#1047;&#1072;&#1076;&#1072;&#1095;&#1080; 6-12'!A44" TargetMode="External" Id="rId6"/><Relationship Type="http://schemas.openxmlformats.org/officeDocument/2006/relationships/hyperlink" Target="#'&#1047;&#1072;&#1076;&#1072;&#1095;&#1080; 6-12'!A44" TargetMode="External" Id="rId7"/><Relationship Type="http://schemas.openxmlformats.org/officeDocument/2006/relationships/hyperlink" Target="#'&#1047;&#1072;&#1076;&#1072;&#1095;&#1080; 6-12'!A64" TargetMode="External" Id="rId8"/><Relationship Type="http://schemas.openxmlformats.org/officeDocument/2006/relationships/hyperlink" Target="#'&#1047;&#1072;&#1076;&#1072;&#1095;&#1080; 6-12'!A64" TargetMode="External" Id="rId9"/><Relationship Type="http://schemas.openxmlformats.org/officeDocument/2006/relationships/hyperlink" Target="#'&#1047;&#1072;&#1076;&#1072;&#1095;&#1080; 6-12'!A84" TargetMode="External" Id="rId10"/><Relationship Type="http://schemas.openxmlformats.org/officeDocument/2006/relationships/hyperlink" Target="#'&#1047;&#1072;&#1076;&#1072;&#1095;&#1080; 6-12'!A84" TargetMode="External" Id="rId11"/><Relationship Type="http://schemas.openxmlformats.org/officeDocument/2006/relationships/hyperlink" Target="#'&#1047;&#1072;&#1076;&#1072;&#1095;&#1080; 6-12'!A84" TargetMode="External" Id="rId12"/><Relationship Type="http://schemas.openxmlformats.org/officeDocument/2006/relationships/hyperlink" Target="#'&#1047;&#1072;&#1076;&#1072;&#1095;&#1080; 6-12'!A84" TargetMode="External" Id="rId13"/><Relationship Type="http://schemas.openxmlformats.org/officeDocument/2006/relationships/hyperlink" Target="#'&#1047;&#1072;&#1076;&#1072;&#1095;&#1080; 6-12'!A104" TargetMode="External" Id="rId14"/><Relationship Type="http://schemas.openxmlformats.org/officeDocument/2006/relationships/hyperlink" Target="#'&#1047;&#1072;&#1076;&#1072;&#1095;&#1080; 6-12'!A104" TargetMode="External" Id="rId15"/><Relationship Type="http://schemas.openxmlformats.org/officeDocument/2006/relationships/hyperlink" Target="#'&#1047;&#1072;&#1076;&#1072;&#1095;&#1080; 6-12'!A104" TargetMode="External" Id="rId16"/><Relationship Type="http://schemas.openxmlformats.org/officeDocument/2006/relationships/hyperlink" Target="#'&#1047;&#1072;&#1076;&#1072;&#1095;&#1080; 6-12'!A104" TargetMode="External" Id="rId17"/><Relationship Type="http://schemas.openxmlformats.org/officeDocument/2006/relationships/hyperlink" Target="#'&#1047;&#1072;&#1076;&#1072;&#1095;&#1080; 6-12'!A122" TargetMode="External" Id="rId18"/><Relationship Type="http://schemas.openxmlformats.org/officeDocument/2006/relationships/hyperlink" Target="#'&#1047;&#1072;&#1076;&#1072;&#1095;&#1080; 6-12'!A122" TargetMode="External" Id="rId19"/><Relationship Type="http://schemas.openxmlformats.org/officeDocument/2006/relationships/hyperlink" Target="#'&#1047;&#1072;&#1076;&#1072;&#1095;&#1080; 1-5'!A6" TargetMode="External" Id="rId20"/><Relationship Type="http://schemas.openxmlformats.org/officeDocument/2006/relationships/hyperlink" Target="#'&#1047;&#1072;&#1076;&#1072;&#1095;&#1080; 1-5'!A23" TargetMode="External" Id="rId21"/><Relationship Type="http://schemas.openxmlformats.org/officeDocument/2006/relationships/hyperlink" Target="#'&#1047;&#1072;&#1076;&#1072;&#1095;&#1080; 1-5'!A39" TargetMode="External" Id="rId22"/><Relationship Type="http://schemas.openxmlformats.org/officeDocument/2006/relationships/hyperlink" Target="#'&#1047;&#1072;&#1076;&#1072;&#1095;&#1080; 1-5'!A58" TargetMode="External" Id="rId23"/><Relationship Type="http://schemas.openxmlformats.org/officeDocument/2006/relationships/hyperlink" Target="#'&#1047;&#1072;&#1076;&#1072;&#1095;&#1080; 1-5'!A7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4" customWidth="1" min="3" max="3"/>
    <col width="26" customWidth="1" min="4" max="4"/>
    <col width="36" customWidth="1" min="5" max="5"/>
    <col width="22" customWidth="1" min="6" max="6"/>
    <col width="10" customWidth="1" min="7" max="7"/>
    <col width="22" customWidth="1" min="8" max="8"/>
    <col width="12" customWidth="1" min="9" max="9"/>
  </cols>
  <sheetData>
    <row r="2" ht="30" customHeight="1">
      <c r="B2" s="1" t="inlineStr">
        <is>
          <t>ПРАКТИЧЕСКАЯ РАБОТА № 2 — СВОДНЫЕ РЕЗУЛЬТАТЫ</t>
        </is>
      </c>
      <c r="C2" s="2" t="n"/>
      <c r="D2" s="2" t="n"/>
      <c r="E2" s="2" t="n"/>
      <c r="F2" s="2" t="n"/>
      <c r="G2" s="2" t="n"/>
      <c r="H2" s="2" t="n"/>
    </row>
    <row r="3" ht="24" customHeight="1">
      <c r="B3" s="3" t="inlineStr">
        <is>
          <t>Аналитическое определение количественных характеристик надежности изделия (экспоненциальный закон надежности)</t>
        </is>
      </c>
      <c r="C3" s="4" t="n"/>
      <c r="D3" s="4" t="n"/>
      <c r="E3" s="4" t="n"/>
      <c r="F3" s="4" t="n"/>
      <c r="G3" s="4" t="n"/>
      <c r="H3" s="4" t="n"/>
    </row>
    <row r="4" ht="20" customHeight="1">
      <c r="B4" s="5" t="inlineStr">
        <is>
          <t>Дисциплина: Надежность автоматизированных систем (НАС)  |  Преподаватель: Ризванов  |  Выполнил: Студент Гайнанов Д.И. (группа ЭАС-414С)</t>
        </is>
      </c>
      <c r="C4" s="4" t="n"/>
      <c r="D4" s="4" t="n"/>
      <c r="E4" s="4" t="n"/>
      <c r="F4" s="4" t="n"/>
      <c r="G4" s="4" t="n"/>
      <c r="H4" s="4" t="n"/>
    </row>
    <row r="6" ht="25" customHeight="1">
      <c r="B6" s="6" t="inlineStr">
        <is>
          <t>1. РЕЗУЛЬТАТЫ РЕШЕНИЯ ЗАДАЧ ДЛЯ САМОСТОЯТЕЛЬНОГО РЕШЕНИЯ (№ 6 – 12)</t>
        </is>
      </c>
    </row>
    <row r="7" ht="28" customHeight="1">
      <c r="B7" s="7" t="inlineStr">
        <is>
          <t>№ задачи</t>
        </is>
      </c>
      <c r="C7" s="7" t="inlineStr">
        <is>
          <t>Краткое условие задачи</t>
        </is>
      </c>
      <c r="D7" s="7" t="inlineStr">
        <is>
          <t>Определяемые параметры</t>
        </is>
      </c>
      <c r="E7" s="7" t="inlineStr">
        <is>
          <t>Расчетная формула (математическая)</t>
        </is>
      </c>
      <c r="F7" s="7" t="inlineStr">
        <is>
          <t>Результат вычислений</t>
        </is>
      </c>
      <c r="G7" s="7" t="inlineStr">
        <is>
          <t>Ед. изм.</t>
        </is>
      </c>
      <c r="H7" s="7" t="inlineStr">
        <is>
          <t>Ссылка на лист решения</t>
        </is>
      </c>
      <c r="I7" s="7" t="inlineStr">
        <is>
          <t>Статус</t>
        </is>
      </c>
    </row>
    <row r="8" ht="21" customHeight="1">
      <c r="B8" s="8" t="inlineStr">
        <is>
          <t>Задача 6</t>
        </is>
      </c>
      <c r="C8" s="9" t="inlineStr">
        <is>
          <t>L1=460 ч, t=800 ч. Найти интенсивность отказов λ</t>
        </is>
      </c>
      <c r="D8" s="8" t="inlineStr">
        <is>
          <t>λ(800)</t>
        </is>
      </c>
      <c r="E8" s="10" t="inlineStr">
        <is>
          <t>λ = 1 / L1</t>
        </is>
      </c>
      <c r="F8" s="11">
        <f>'Задачи 6-12'!E16</f>
        <v/>
      </c>
      <c r="G8" s="12" t="inlineStr">
        <is>
          <t>1/ч</t>
        </is>
      </c>
      <c r="H8" s="13" t="inlineStr">
        <is>
          <t>Перейти к решению</t>
        </is>
      </c>
      <c r="I8" s="14" t="inlineStr">
        <is>
          <t>Решено</t>
        </is>
      </c>
    </row>
    <row r="9" ht="21" customHeight="1">
      <c r="B9" s="15" t="inlineStr">
        <is>
          <t>Задача 6 (2)</t>
        </is>
      </c>
      <c r="C9" s="16" t="inlineStr">
        <is>
          <t>Та же задача, вероятность безотказной работы P(800)</t>
        </is>
      </c>
      <c r="D9" s="15" t="inlineStr">
        <is>
          <t>P(800)</t>
        </is>
      </c>
      <c r="E9" s="17" t="inlineStr">
        <is>
          <t>P(t) = exp(-λ · t)</t>
        </is>
      </c>
      <c r="F9" s="18">
        <f>'Задачи 6-12'!E18</f>
        <v/>
      </c>
      <c r="G9" s="19" t="inlineStr">
        <is>
          <t>—</t>
        </is>
      </c>
      <c r="H9" s="20" t="inlineStr">
        <is>
          <t>Перейти к решению</t>
        </is>
      </c>
      <c r="I9" s="21" t="inlineStr">
        <is>
          <t>Решено</t>
        </is>
      </c>
    </row>
    <row r="10" ht="21" customHeight="1">
      <c r="B10" s="8" t="inlineStr">
        <is>
          <t>Задача 6 (3)</t>
        </is>
      </c>
      <c r="C10" s="9" t="inlineStr">
        <is>
          <t>Та же задача, частота отказов f(800)</t>
        </is>
      </c>
      <c r="D10" s="8" t="inlineStr">
        <is>
          <t>f(800)</t>
        </is>
      </c>
      <c r="E10" s="10" t="inlineStr">
        <is>
          <t>f(t) = λ · P(t)</t>
        </is>
      </c>
      <c r="F10" s="11">
        <f>'Задачи 6-12'!E20</f>
        <v/>
      </c>
      <c r="G10" s="12" t="inlineStr">
        <is>
          <t>1/ч</t>
        </is>
      </c>
      <c r="H10" s="13" t="inlineStr">
        <is>
          <t>Перейти к решению</t>
        </is>
      </c>
      <c r="I10" s="14" t="inlineStr">
        <is>
          <t>Решено</t>
        </is>
      </c>
    </row>
    <row r="11" ht="21" customHeight="1">
      <c r="B11" s="15" t="inlineStr">
        <is>
          <t>Задача 7</t>
        </is>
      </c>
      <c r="C11" s="16" t="inlineStr">
        <is>
          <t>n=6000 элементов, λср=0.2·10⁻⁶ ч⁻¹, T=50 ч. Найти Pc(50)</t>
        </is>
      </c>
      <c r="D11" s="15" t="inlineStr">
        <is>
          <t>Pc(50)</t>
        </is>
      </c>
      <c r="E11" s="17" t="inlineStr">
        <is>
          <t>Pc(T) = exp(-n · λср · T)</t>
        </is>
      </c>
      <c r="F11" s="18">
        <f>'Задачи 6-12'!E37</f>
        <v/>
      </c>
      <c r="G11" s="19" t="inlineStr">
        <is>
          <t>—</t>
        </is>
      </c>
      <c r="H11" s="20" t="inlineStr">
        <is>
          <t>Перейти к решению</t>
        </is>
      </c>
      <c r="I11" s="21" t="inlineStr">
        <is>
          <t>Решено</t>
        </is>
      </c>
    </row>
    <row r="12" ht="21" customHeight="1">
      <c r="B12" s="8" t="inlineStr">
        <is>
          <t>Задача 7 (2)</t>
        </is>
      </c>
      <c r="C12" s="9" t="inlineStr">
        <is>
          <t>Та же задача, среднее время безотказной работы mtc</t>
        </is>
      </c>
      <c r="D12" s="8" t="inlineStr">
        <is>
          <t>mtc</t>
        </is>
      </c>
      <c r="E12" s="10" t="inlineStr">
        <is>
          <t>mtc = 1 / (n · λср)</t>
        </is>
      </c>
      <c r="F12" s="22">
        <f>'Задачи 6-12'!E40</f>
        <v/>
      </c>
      <c r="G12" s="12" t="inlineStr">
        <is>
          <t>ч</t>
        </is>
      </c>
      <c r="H12" s="13" t="inlineStr">
        <is>
          <t>Перейти к решению</t>
        </is>
      </c>
      <c r="I12" s="14" t="inlineStr">
        <is>
          <t>Решено</t>
        </is>
      </c>
    </row>
    <row r="13" ht="21" customHeight="1">
      <c r="B13" s="15" t="inlineStr">
        <is>
          <t>Задача 8</t>
        </is>
      </c>
      <c r="C13" s="16" t="inlineStr">
        <is>
          <t>n=5000 элементов, λср=0.3·10⁻⁶ ч⁻¹, T=120 ч. Найти Pc(120)</t>
        </is>
      </c>
      <c r="D13" s="15" t="inlineStr">
        <is>
          <t>Pc(120)</t>
        </is>
      </c>
      <c r="E13" s="17" t="inlineStr">
        <is>
          <t>Pc(T) = exp(-n · λср · T)</t>
        </is>
      </c>
      <c r="F13" s="18">
        <f>'Задачи 6-12'!E57</f>
        <v/>
      </c>
      <c r="G13" s="19" t="inlineStr">
        <is>
          <t>—</t>
        </is>
      </c>
      <c r="H13" s="20" t="inlineStr">
        <is>
          <t>Перейти к решению</t>
        </is>
      </c>
      <c r="I13" s="21" t="inlineStr">
        <is>
          <t>Решено</t>
        </is>
      </c>
    </row>
    <row r="14" ht="21" customHeight="1">
      <c r="B14" s="8" t="inlineStr">
        <is>
          <t>Задача 8 (2)</t>
        </is>
      </c>
      <c r="C14" s="9" t="inlineStr">
        <is>
          <t>Та же задача, среднее время безотказной работы mtc</t>
        </is>
      </c>
      <c r="D14" s="8" t="inlineStr">
        <is>
          <t>mtc</t>
        </is>
      </c>
      <c r="E14" s="10" t="inlineStr">
        <is>
          <t>mtc = 1 / (n · λср)</t>
        </is>
      </c>
      <c r="F14" s="22">
        <f>'Задачи 6-12'!E60</f>
        <v/>
      </c>
      <c r="G14" s="12" t="inlineStr">
        <is>
          <t>ч</t>
        </is>
      </c>
      <c r="H14" s="13" t="inlineStr">
        <is>
          <t>Перейти к решению</t>
        </is>
      </c>
      <c r="I14" s="14" t="inlineStr">
        <is>
          <t>Решено</t>
        </is>
      </c>
    </row>
    <row r="15" ht="21" customHeight="1">
      <c r="B15" s="15" t="inlineStr">
        <is>
          <t>Задача 9</t>
        </is>
      </c>
      <c r="C15" s="16" t="inlineStr">
        <is>
          <t>ЭВМ из n=200000 элементов, λср=0.3·10⁻⁶ ч⁻¹, сутки (t=24 ч)</t>
        </is>
      </c>
      <c r="D15" s="15" t="inlineStr">
        <is>
          <t>Pc(24)</t>
        </is>
      </c>
      <c r="E15" s="17" t="inlineStr">
        <is>
          <t>Pc(24) = exp(-n · λср · 24)</t>
        </is>
      </c>
      <c r="F15" s="18">
        <f>'Задачи 6-12'!E77</f>
        <v/>
      </c>
      <c r="G15" s="19" t="inlineStr">
        <is>
          <t>—</t>
        </is>
      </c>
      <c r="H15" s="20" t="inlineStr">
        <is>
          <t>Перейти к решению</t>
        </is>
      </c>
      <c r="I15" s="21" t="inlineStr">
        <is>
          <t>Решено</t>
        </is>
      </c>
    </row>
    <row r="16" ht="21" customHeight="1">
      <c r="B16" s="8" t="inlineStr">
        <is>
          <t>Задача 9 (2)</t>
        </is>
      </c>
      <c r="C16" s="9" t="inlineStr">
        <is>
          <t>Та же задача, среднее время безотказной работы ЭВМ</t>
        </is>
      </c>
      <c r="D16" s="8" t="inlineStr">
        <is>
          <t>mtc</t>
        </is>
      </c>
      <c r="E16" s="10" t="inlineStr">
        <is>
          <t>mtc = 1 / (n · λср)</t>
        </is>
      </c>
      <c r="F16" s="22">
        <f>'Задачи 6-12'!E80</f>
        <v/>
      </c>
      <c r="G16" s="12" t="inlineStr">
        <is>
          <t>ч</t>
        </is>
      </c>
      <c r="H16" s="13" t="inlineStr">
        <is>
          <t>Перейти к решению</t>
        </is>
      </c>
      <c r="I16" s="14" t="inlineStr">
        <is>
          <t>Решено</t>
        </is>
      </c>
    </row>
    <row r="17" ht="21" customHeight="1">
      <c r="B17" s="15" t="inlineStr">
        <is>
          <t>Задача 10</t>
        </is>
      </c>
      <c r="C17" s="16" t="inlineStr">
        <is>
          <t>n=12600, λср=0.32·10⁻⁶ ч⁻¹, t=50 ч. Вероятность Pc(50)</t>
        </is>
      </c>
      <c r="D17" s="15" t="inlineStr">
        <is>
          <t>Pc(50)</t>
        </is>
      </c>
      <c r="E17" s="17" t="inlineStr">
        <is>
          <t>Pc(t) = exp(-λc · t)</t>
        </is>
      </c>
      <c r="F17" s="18">
        <f>'Задачи 6-12'!E97</f>
        <v/>
      </c>
      <c r="G17" s="19" t="inlineStr">
        <is>
          <t>—</t>
        </is>
      </c>
      <c r="H17" s="20" t="inlineStr">
        <is>
          <t>Перейти к решению</t>
        </is>
      </c>
      <c r="I17" s="21" t="inlineStr">
        <is>
          <t>Решено</t>
        </is>
      </c>
    </row>
    <row r="18" ht="21" customHeight="1">
      <c r="B18" s="8" t="inlineStr">
        <is>
          <t>Задача 10 (2)</t>
        </is>
      </c>
      <c r="C18" s="9" t="inlineStr">
        <is>
          <t>Та же задача, вероятность отказа системы qc(50)</t>
        </is>
      </c>
      <c r="D18" s="8" t="inlineStr">
        <is>
          <t>qc(50)</t>
        </is>
      </c>
      <c r="E18" s="10" t="inlineStr">
        <is>
          <t>qc(t) = 1 - Pc(t)</t>
        </is>
      </c>
      <c r="F18" s="18">
        <f>'Задачи 6-12'!E98</f>
        <v/>
      </c>
      <c r="G18" s="12" t="inlineStr">
        <is>
          <t>—</t>
        </is>
      </c>
      <c r="H18" s="13" t="inlineStr">
        <is>
          <t>Перейти к решению</t>
        </is>
      </c>
      <c r="I18" s="14" t="inlineStr">
        <is>
          <t>Решено</t>
        </is>
      </c>
    </row>
    <row r="19" ht="21" customHeight="1">
      <c r="B19" s="15" t="inlineStr">
        <is>
          <t>Задача 10 (3)</t>
        </is>
      </c>
      <c r="C19" s="16" t="inlineStr">
        <is>
          <t>Та же задача, частота отказов fc(50)</t>
        </is>
      </c>
      <c r="D19" s="15" t="inlineStr">
        <is>
          <t>fc(50)</t>
        </is>
      </c>
      <c r="E19" s="17" t="inlineStr">
        <is>
          <t>fc(t) = λc · Pc(t)</t>
        </is>
      </c>
      <c r="F19" s="11">
        <f>'Задачи 6-12'!E99</f>
        <v/>
      </c>
      <c r="G19" s="19" t="inlineStr">
        <is>
          <t>1/ч</t>
        </is>
      </c>
      <c r="H19" s="20" t="inlineStr">
        <is>
          <t>Перейти к решению</t>
        </is>
      </c>
      <c r="I19" s="21" t="inlineStr">
        <is>
          <t>Решено</t>
        </is>
      </c>
    </row>
    <row r="20" ht="21" customHeight="1">
      <c r="B20" s="8" t="inlineStr">
        <is>
          <t>Задача 10 (4)</t>
        </is>
      </c>
      <c r="C20" s="9" t="inlineStr">
        <is>
          <t>Та же задача, средняя наработка системы mtc</t>
        </is>
      </c>
      <c r="D20" s="8" t="inlineStr">
        <is>
          <t>mtc</t>
        </is>
      </c>
      <c r="E20" s="10" t="inlineStr">
        <is>
          <t>mtc = 1 / λc</t>
        </is>
      </c>
      <c r="F20" s="22">
        <f>'Задачи 6-12'!E100</f>
        <v/>
      </c>
      <c r="G20" s="12" t="inlineStr">
        <is>
          <t>ч</t>
        </is>
      </c>
      <c r="H20" s="13" t="inlineStr">
        <is>
          <t>Перейти к решению</t>
        </is>
      </c>
      <c r="I20" s="14" t="inlineStr">
        <is>
          <t>Решено</t>
        </is>
      </c>
    </row>
    <row r="21" ht="21" customHeight="1">
      <c r="B21" s="15" t="inlineStr">
        <is>
          <t>Задача 11</t>
        </is>
      </c>
      <c r="C21" s="16" t="inlineStr">
        <is>
          <t>Прибор с λ=0.1·10⁻⁶ ч⁻¹, t=180 ч. Вероятность p(180)</t>
        </is>
      </c>
      <c r="D21" s="15" t="inlineStr">
        <is>
          <t>p(180)</t>
        </is>
      </c>
      <c r="E21" s="17" t="inlineStr">
        <is>
          <t>p(t) = exp(-λ · t)</t>
        </is>
      </c>
      <c r="F21" s="11">
        <f>'Задачи 6-12'!E115</f>
        <v/>
      </c>
      <c r="G21" s="19" t="inlineStr">
        <is>
          <t>—</t>
        </is>
      </c>
      <c r="H21" s="20" t="inlineStr">
        <is>
          <t>Перейти к решению</t>
        </is>
      </c>
      <c r="I21" s="21" t="inlineStr">
        <is>
          <t>Решено</t>
        </is>
      </c>
    </row>
    <row r="22" ht="21" customHeight="1">
      <c r="B22" s="8" t="inlineStr">
        <is>
          <t>Задача 11 (2)</t>
        </is>
      </c>
      <c r="C22" s="9" t="inlineStr">
        <is>
          <t>Та же задача, вероятность отказа прибора q(180)</t>
        </is>
      </c>
      <c r="D22" s="8" t="inlineStr">
        <is>
          <t>q(180)</t>
        </is>
      </c>
      <c r="E22" s="10" t="inlineStr">
        <is>
          <t>q(t) = 1 - p(t)</t>
        </is>
      </c>
      <c r="F22" s="11">
        <f>'Задачи 6-12'!E116</f>
        <v/>
      </c>
      <c r="G22" s="12" t="inlineStr">
        <is>
          <t>—</t>
        </is>
      </c>
      <c r="H22" s="13" t="inlineStr">
        <is>
          <t>Перейти к решению</t>
        </is>
      </c>
      <c r="I22" s="14" t="inlineStr">
        <is>
          <t>Решено</t>
        </is>
      </c>
    </row>
    <row r="23" ht="21" customHeight="1">
      <c r="B23" s="15" t="inlineStr">
        <is>
          <t>Задача 11 (3)</t>
        </is>
      </c>
      <c r="C23" s="16" t="inlineStr">
        <is>
          <t>Та же задача, частота отказов прибора f(180)</t>
        </is>
      </c>
      <c r="D23" s="15" t="inlineStr">
        <is>
          <t>f(180)</t>
        </is>
      </c>
      <c r="E23" s="17" t="inlineStr">
        <is>
          <t>f(t) = λ · p(t)</t>
        </is>
      </c>
      <c r="F23" s="23">
        <f>'Задачи 6-12'!E117</f>
        <v/>
      </c>
      <c r="G23" s="19" t="inlineStr">
        <is>
          <t>1/ч</t>
        </is>
      </c>
      <c r="H23" s="20" t="inlineStr">
        <is>
          <t>Перейти к решению</t>
        </is>
      </c>
      <c r="I23" s="21" t="inlineStr">
        <is>
          <t>Решено</t>
        </is>
      </c>
    </row>
    <row r="24" ht="21" customHeight="1">
      <c r="B24" s="8" t="inlineStr">
        <is>
          <t>Задача 11 (4)</t>
        </is>
      </c>
      <c r="C24" s="9" t="inlineStr">
        <is>
          <t>Та же задача, среднее время безотказной работы mt</t>
        </is>
      </c>
      <c r="D24" s="8" t="inlineStr">
        <is>
          <t>mt</t>
        </is>
      </c>
      <c r="E24" s="10" t="inlineStr">
        <is>
          <t>mt = 1 / λ</t>
        </is>
      </c>
      <c r="F24" s="24">
        <f>'Задачи 6-12'!E118</f>
        <v/>
      </c>
      <c r="G24" s="12" t="inlineStr">
        <is>
          <t>ч</t>
        </is>
      </c>
      <c r="H24" s="13" t="inlineStr">
        <is>
          <t>Перейти к решению</t>
        </is>
      </c>
      <c r="I24" s="14" t="inlineStr">
        <is>
          <t>Решено</t>
        </is>
      </c>
    </row>
    <row r="25" ht="21" customHeight="1">
      <c r="B25" s="15" t="inlineStr">
        <is>
          <t>Задача 12</t>
        </is>
      </c>
      <c r="C25" s="16" t="inlineStr">
        <is>
          <t>Система из 5 приборов (mti={83, 220, 280, 400, 700} ч)</t>
        </is>
      </c>
      <c r="D25" s="15" t="inlineStr">
        <is>
          <t>λc</t>
        </is>
      </c>
      <c r="E25" s="17" t="inlineStr">
        <is>
          <t>λc = Σ (1 / mti)</t>
        </is>
      </c>
      <c r="F25" s="11">
        <f>'Задачи 6-12'!F132</f>
        <v/>
      </c>
      <c r="G25" s="19" t="inlineStr">
        <is>
          <t>1/ч</t>
        </is>
      </c>
      <c r="H25" s="20" t="inlineStr">
        <is>
          <t>Перейти к решению</t>
        </is>
      </c>
      <c r="I25" s="21" t="inlineStr">
        <is>
          <t>Решено</t>
        </is>
      </c>
    </row>
    <row r="26" ht="21" customHeight="1">
      <c r="B26" s="8" t="inlineStr">
        <is>
          <t>Задача 12 (2)</t>
        </is>
      </c>
      <c r="C26" s="9" t="inlineStr">
        <is>
          <t>Та же задача, среднее время безотказной работы mtc</t>
        </is>
      </c>
      <c r="D26" s="8" t="inlineStr">
        <is>
          <t>mtc</t>
        </is>
      </c>
      <c r="E26" s="10" t="inlineStr">
        <is>
          <t>mtc = 1 / λc</t>
        </is>
      </c>
      <c r="F26" s="22">
        <f>'Задачи 6-12'!E137</f>
        <v/>
      </c>
      <c r="G26" s="12" t="inlineStr">
        <is>
          <t>ч</t>
        </is>
      </c>
      <c r="H26" s="13" t="inlineStr">
        <is>
          <t>Перейти к решению</t>
        </is>
      </c>
      <c r="I26" s="14" t="inlineStr">
        <is>
          <t>Решено</t>
        </is>
      </c>
    </row>
    <row r="29" ht="25" customHeight="1">
      <c r="B29" s="6" t="inlineStr">
        <is>
          <t>2. РЕЗУЛЬТАТЫ РЕШЕНИЯ ТИПОВЫХ ЗАДАЧ ИЗ ПРЕЗЕНТАЦИИ (№ 1 – 5)</t>
        </is>
      </c>
    </row>
    <row r="30" ht="26" customHeight="1">
      <c r="B30" s="7" t="inlineStr">
        <is>
          <t>№ задачи</t>
        </is>
      </c>
      <c r="C30" s="7" t="inlineStr">
        <is>
          <t>Тема / Объект расчета</t>
        </is>
      </c>
      <c r="D30" s="7" t="inlineStr">
        <is>
          <t>Ключевые исходные данные</t>
        </is>
      </c>
      <c r="E30" s="7" t="inlineStr">
        <is>
          <t>Искомый параметр</t>
        </is>
      </c>
      <c r="F30" s="7" t="inlineStr">
        <is>
          <t>Результат вычислений</t>
        </is>
      </c>
      <c r="G30" s="7" t="inlineStr">
        <is>
          <t>Ед. изм.</t>
        </is>
      </c>
      <c r="H30" s="7" t="inlineStr">
        <is>
          <t>Сверка со слайдом</t>
        </is>
      </c>
      <c r="I30" s="7" t="inlineStr">
        <is>
          <t>Ссылка</t>
        </is>
      </c>
    </row>
    <row r="31" ht="21" customHeight="1">
      <c r="B31" s="15" t="inlineStr">
        <is>
          <t>Задача 1</t>
        </is>
      </c>
      <c r="C31" s="16" t="inlineStr">
        <is>
          <t>Автоматический регулятор</t>
        </is>
      </c>
      <c r="D31" s="16" t="inlineStr">
        <is>
          <t>L1=640 ч, t=120 ч</t>
        </is>
      </c>
      <c r="E31" s="15" t="inlineStr">
        <is>
          <t>P(120), λ, f(120)</t>
        </is>
      </c>
      <c r="F31" s="18">
        <f>'Задачи 1-5'!E18</f>
        <v/>
      </c>
      <c r="G31" s="19" t="inlineStr">
        <is>
          <t>—</t>
        </is>
      </c>
      <c r="H31" s="25" t="inlineStr">
        <is>
          <t>P=0.83; λ=1.56·10⁻³; f=1.29·10⁻³ (Совпадает)</t>
        </is>
      </c>
      <c r="I31" s="20" t="inlineStr">
        <is>
          <t>Смотреть</t>
        </is>
      </c>
    </row>
    <row r="32" ht="21" customHeight="1">
      <c r="B32" s="8" t="inlineStr">
        <is>
          <t>Задача 2</t>
        </is>
      </c>
      <c r="C32" s="9" t="inlineStr">
        <is>
          <t>Система из N одинаковых элементов</t>
        </is>
      </c>
      <c r="D32" s="9" t="inlineStr">
        <is>
          <t>P=0.99, N1=1000, N2=100</t>
        </is>
      </c>
      <c r="E32" s="8" t="inlineStr">
        <is>
          <t>Pc(1000), Pc(100)</t>
        </is>
      </c>
      <c r="F32" s="18">
        <f>'Задачи 1-5'!E35</f>
        <v/>
      </c>
      <c r="G32" s="12" t="inlineStr">
        <is>
          <t>—</t>
        </is>
      </c>
      <c r="H32" s="26" t="inlineStr">
        <is>
          <t>Pc(1000)=0.432·10⁻⁴; Pc(100)=0.366 (Совпадает)</t>
        </is>
      </c>
      <c r="I32" s="13" t="inlineStr">
        <is>
          <t>Смотреть</t>
        </is>
      </c>
    </row>
    <row r="33" ht="21" customHeight="1">
      <c r="B33" s="15" t="inlineStr">
        <is>
          <t>Задача 3</t>
        </is>
      </c>
      <c r="C33" s="16" t="inlineStr">
        <is>
          <t>Система управления</t>
        </is>
      </c>
      <c r="D33" s="16" t="inlineStr">
        <is>
          <t>n=6000, λср=0.2·10⁻⁶, T=50 ч</t>
        </is>
      </c>
      <c r="E33" s="15" t="inlineStr">
        <is>
          <t>Pc(50), mtc</t>
        </is>
      </c>
      <c r="F33" s="18">
        <f>'Задачи 1-5'!E54</f>
        <v/>
      </c>
      <c r="G33" s="19" t="inlineStr">
        <is>
          <t>ч</t>
        </is>
      </c>
      <c r="H33" s="25" t="inlineStr">
        <is>
          <t>mtc=833.3 ч; Pc(50)=0.9418 (в слайде опечатка 0.994)</t>
        </is>
      </c>
      <c r="I33" s="20" t="inlineStr">
        <is>
          <t>Смотреть</t>
        </is>
      </c>
    </row>
    <row r="34" ht="21" customHeight="1">
      <c r="B34" s="8" t="inlineStr">
        <is>
          <t>Задача 4</t>
        </is>
      </c>
      <c r="C34" s="9" t="inlineStr">
        <is>
          <t>Система из 11000 элементов</t>
        </is>
      </c>
      <c r="D34" s="9" t="inlineStr">
        <is>
          <t>n=11000, λср=0.12·10⁻⁶, t=80 ч</t>
        </is>
      </c>
      <c r="E34" s="8" t="inlineStr">
        <is>
          <t>Pc(80), mtc, fc(80)</t>
        </is>
      </c>
      <c r="F34" s="18">
        <f>'Задачи 1-5'!E74</f>
        <v/>
      </c>
      <c r="G34" s="12" t="inlineStr">
        <is>
          <t>ч</t>
        </is>
      </c>
      <c r="H34" s="26" t="inlineStr">
        <is>
          <t>mtc=758 ч; Pc=0.8998 (на слайде ≈0.82)</t>
        </is>
      </c>
      <c r="I34" s="13" t="inlineStr">
        <is>
          <t>Смотреть</t>
        </is>
      </c>
    </row>
    <row r="35" ht="21" customHeight="1">
      <c r="B35" s="15" t="inlineStr">
        <is>
          <t>Задача 5</t>
        </is>
      </c>
      <c r="C35" s="16" t="inlineStr">
        <is>
          <t>Элемент (экспоненциальный закон)</t>
        </is>
      </c>
      <c r="D35" s="16" t="inlineStr">
        <is>
          <t>λ=2.5·10⁻⁵ ч⁻¹, t=1000 ч</t>
        </is>
      </c>
      <c r="E35" s="15" t="inlineStr">
        <is>
          <t>p(1000), q, f, mt</t>
        </is>
      </c>
      <c r="F35" s="18">
        <f>'Задачи 1-5'!E89</f>
        <v/>
      </c>
      <c r="G35" s="19" t="inlineStr">
        <is>
          <t>—</t>
        </is>
      </c>
      <c r="H35" s="25" t="inlineStr">
        <is>
          <t>p=0.9753; q=0.0247; f=2.439·10⁻⁵; mt=40000 (Совпадает)</t>
        </is>
      </c>
      <c r="I35" s="20" t="inlineStr">
        <is>
          <t>Смотреть</t>
        </is>
      </c>
    </row>
  </sheetData>
  <mergeCells count="3">
    <mergeCell ref="B3:H3"/>
    <mergeCell ref="B2:H2"/>
    <mergeCell ref="B4:H4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19" r:id="rId12"/>
    <hyperlink xmlns:r="http://schemas.openxmlformats.org/officeDocument/2006/relationships" ref="H20" r:id="rId13"/>
    <hyperlink xmlns:r="http://schemas.openxmlformats.org/officeDocument/2006/relationships" ref="H21" r:id="rId14"/>
    <hyperlink xmlns:r="http://schemas.openxmlformats.org/officeDocument/2006/relationships" ref="H22" r:id="rId15"/>
    <hyperlink xmlns:r="http://schemas.openxmlformats.org/officeDocument/2006/relationships" ref="H23" r:id="rId16"/>
    <hyperlink xmlns:r="http://schemas.openxmlformats.org/officeDocument/2006/relationships" ref="H24" r:id="rId17"/>
    <hyperlink xmlns:r="http://schemas.openxmlformats.org/officeDocument/2006/relationships" ref="H25" r:id="rId18"/>
    <hyperlink xmlns:r="http://schemas.openxmlformats.org/officeDocument/2006/relationships" ref="H26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34" customWidth="1" min="4" max="4"/>
    <col width="24" customWidth="1" min="5" max="5"/>
    <col width="12" customWidth="1" min="6" max="6"/>
    <col width="48" customWidth="1" min="7" max="7"/>
  </cols>
  <sheetData>
    <row r="2" ht="30" customHeight="1">
      <c r="B2" s="1" t="inlineStr">
        <is>
          <t>ЗАДАЧИ ДЛЯ САМОСТОЯТЕЛЬНОГО РЕШЕНИЯ (№ 6 – 12)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Практическая работа № 2. Аналитическое определение количественных характеристик надежности изделия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Все расчеты выполнены формулами Excel со ссылками на ячейки исходных данных</t>
        </is>
      </c>
      <c r="C4" s="4" t="n"/>
      <c r="D4" s="4" t="n"/>
      <c r="E4" s="4" t="n"/>
      <c r="F4" s="4" t="n"/>
      <c r="G4" s="4" t="n"/>
    </row>
    <row r="6" ht="24" customHeight="1">
      <c r="B6" s="27" t="inlineStr">
        <is>
          <t>ЗАДАЧА № 6. Расчет показателей надежности системы при L1 = 460 ч (t = 800 ч)</t>
        </is>
      </c>
      <c r="C6" s="2" t="n"/>
      <c r="D6" s="2" t="n"/>
      <c r="E6" s="2" t="n"/>
      <c r="F6" s="2" t="n"/>
      <c r="G6" s="2" t="n"/>
    </row>
    <row r="7" ht="18" customHeight="1">
      <c r="B7" s="28" t="inlineStr">
        <is>
          <t>Условие: Средняя наработка до отказа L1 системы равна 460 часов. Для экспоненциального закона надежности определить вероятность безотказной работы, частоту отказов и интенсивность отказов за 800 часов работы системы.</t>
        </is>
      </c>
      <c r="C7" s="29" t="n"/>
      <c r="D7" s="29" t="n"/>
      <c r="E7" s="29" t="n"/>
      <c r="F7" s="29" t="n"/>
      <c r="G7" s="29" t="n"/>
    </row>
    <row r="8" ht="18" customHeight="1">
      <c r="B8" s="29" t="n"/>
      <c r="C8" s="29" t="n"/>
      <c r="D8" s="29" t="n"/>
      <c r="E8" s="29" t="n"/>
      <c r="F8" s="29" t="n"/>
      <c r="G8" s="29" t="n"/>
    </row>
    <row r="9" ht="20" customHeight="1">
      <c r="B9" s="30" t="inlineStr">
        <is>
          <t>Таблица 1. Исходные данные задачи</t>
        </is>
      </c>
    </row>
    <row r="10" ht="22" customHeight="1">
      <c r="B10" s="31" t="inlineStr">
        <is>
          <t>Наименование параметра</t>
        </is>
      </c>
      <c r="C10" s="31" t="inlineStr">
        <is>
          <t>Обозначение</t>
        </is>
      </c>
      <c r="D10" s="31" t="inlineStr">
        <is>
          <t>Значение</t>
        </is>
      </c>
      <c r="E10" s="31" t="inlineStr">
        <is>
          <t>Ед. изм.</t>
        </is>
      </c>
      <c r="F10" s="31" t="inlineStr">
        <is>
          <t>Пояснение</t>
        </is>
      </c>
    </row>
    <row r="11" ht="20" customHeight="1">
      <c r="B11" s="32" t="inlineStr">
        <is>
          <t>Средняя наработка до отказа</t>
        </is>
      </c>
      <c r="C11" s="33" t="inlineStr">
        <is>
          <t>L1</t>
        </is>
      </c>
      <c r="D11" s="34" t="n">
        <v>460</v>
      </c>
      <c r="E11" s="35" t="inlineStr">
        <is>
          <t>ч</t>
        </is>
      </c>
      <c r="F11" s="36" t="inlineStr">
        <is>
          <t>L1 = mt = 460 ч</t>
        </is>
      </c>
    </row>
    <row r="12" ht="20" customHeight="1">
      <c r="B12" s="32" t="inlineStr">
        <is>
          <t>Время работы (наработка)</t>
        </is>
      </c>
      <c r="C12" s="33" t="inlineStr">
        <is>
          <t>t</t>
        </is>
      </c>
      <c r="D12" s="34" t="n">
        <v>800</v>
      </c>
      <c r="E12" s="35" t="inlineStr">
        <is>
          <t>ч</t>
        </is>
      </c>
      <c r="F12" s="36" t="inlineStr">
        <is>
          <t>Момент времени t = 800 ч</t>
        </is>
      </c>
    </row>
    <row r="14" ht="20" customHeight="1">
      <c r="B14" s="30" t="inlineStr">
        <is>
          <t>Таблица 2. Расчет показателей надежности</t>
        </is>
      </c>
    </row>
    <row r="15" ht="24" customHeight="1">
      <c r="B15" s="37" t="inlineStr">
        <is>
          <t>Определяемый показатель</t>
        </is>
      </c>
      <c r="C15" s="37" t="inlineStr">
        <is>
          <t>Обозначение</t>
        </is>
      </c>
      <c r="D15" s="37" t="inlineStr">
        <is>
          <t>Математическая формула</t>
        </is>
      </c>
      <c r="E15" s="37" t="inlineStr">
        <is>
          <t>Значение (формула Excel)</t>
        </is>
      </c>
      <c r="F15" s="37" t="inlineStr">
        <is>
          <t>Ед. изм.</t>
        </is>
      </c>
      <c r="G15" s="37" t="inlineStr">
        <is>
          <t>Пояснение к результату</t>
        </is>
      </c>
    </row>
    <row r="16" ht="22" customHeight="1">
      <c r="B16" s="32" t="inlineStr">
        <is>
          <t>Интенсивность отказов</t>
        </is>
      </c>
      <c r="C16" s="33" t="inlineStr">
        <is>
          <t>l_800</t>
        </is>
      </c>
      <c r="D16" s="38" t="inlineStr">
        <is>
          <t>1 / L1</t>
        </is>
      </c>
      <c r="E16" s="11">
        <f>1/D11</f>
        <v/>
      </c>
      <c r="F16" s="35" t="inlineStr">
        <is>
          <t>1/ч</t>
        </is>
      </c>
      <c r="G16" s="36" t="inlineStr">
        <is>
          <t>λ = const = 1 / 460 ≈ 0.002174 ч⁻¹</t>
        </is>
      </c>
    </row>
    <row r="17" ht="22" customHeight="1">
      <c r="B17" s="32" t="inlineStr">
        <is>
          <t>Показатель экспоненты (λ · t)</t>
        </is>
      </c>
      <c r="C17" s="33" t="inlineStr">
        <is>
          <t>lt</t>
        </is>
      </c>
      <c r="D17" s="38" t="inlineStr">
        <is>
          <t>λ · t</t>
        </is>
      </c>
      <c r="E17" s="18">
        <f>E16*D12</f>
        <v/>
      </c>
      <c r="F17" s="35" t="inlineStr">
        <is>
          <t>—</t>
        </is>
      </c>
      <c r="G17" s="36" t="inlineStr">
        <is>
          <t>λ · t = 800 / 460 ≈ 1.73913</t>
        </is>
      </c>
    </row>
    <row r="18" ht="22" customHeight="1">
      <c r="B18" s="32" t="inlineStr">
        <is>
          <t>Вероятность безотказной работы</t>
        </is>
      </c>
      <c r="C18" s="33" t="inlineStr">
        <is>
          <t>P_800</t>
        </is>
      </c>
      <c r="D18" s="38" t="inlineStr">
        <is>
          <t>EXP(-λ · t)</t>
        </is>
      </c>
      <c r="E18" s="18">
        <f>EXP(-E17)</f>
        <v/>
      </c>
      <c r="F18" s="35" t="inlineStr">
        <is>
          <t>—</t>
        </is>
      </c>
      <c r="G18" s="36" t="inlineStr">
        <is>
          <t>P(800) = exp(-1.73913) ≈ 0.1757 (17.57%)</t>
        </is>
      </c>
    </row>
    <row r="19" ht="22" customHeight="1">
      <c r="B19" s="32" t="inlineStr">
        <is>
          <t>Вероятность отказа (доп.)</t>
        </is>
      </c>
      <c r="C19" s="33" t="inlineStr">
        <is>
          <t>q_800</t>
        </is>
      </c>
      <c r="D19" s="38" t="inlineStr">
        <is>
          <t>1 - P(t)</t>
        </is>
      </c>
      <c r="E19" s="18">
        <f>1-E18</f>
        <v/>
      </c>
      <c r="F19" s="35" t="inlineStr">
        <is>
          <t>—</t>
        </is>
      </c>
      <c r="G19" s="36" t="inlineStr">
        <is>
          <t>q(800) = 1 - 0.1757 = 0.8243 (82.43%)</t>
        </is>
      </c>
    </row>
    <row r="20" ht="22" customHeight="1">
      <c r="B20" s="32" t="inlineStr">
        <is>
          <t>Частота отказов системы</t>
        </is>
      </c>
      <c r="C20" s="33" t="inlineStr">
        <is>
          <t>f_800</t>
        </is>
      </c>
      <c r="D20" s="38" t="inlineStr">
        <is>
          <t>λ · P(t)</t>
        </is>
      </c>
      <c r="E20" s="11">
        <f>E16*E18</f>
        <v/>
      </c>
      <c r="F20" s="35" t="inlineStr">
        <is>
          <t>1/ч</t>
        </is>
      </c>
      <c r="G20" s="36" t="inlineStr">
        <is>
          <t>f(800) = 0.002174 · 0.1757 ≈ 0.000382 ч⁻¹</t>
        </is>
      </c>
    </row>
    <row r="21" ht="24" customHeight="1">
      <c r="B21" s="39" t="inlineStr">
        <is>
          <t>ВЫВОД / ОТВЕТ: При t = 800 ч: интенсивность отказов λ = 0,002174 1/ч (2,17·10⁻³ ч⁻¹); вероятность безотказной работы P(800) = 0,1757 (17,57%); частота отказов f(800) = 0,000382 1/ч (3,82·10⁻⁴ ч⁻¹).</t>
        </is>
      </c>
      <c r="C21" s="40" t="n"/>
      <c r="D21" s="40" t="n"/>
      <c r="E21" s="40" t="n"/>
      <c r="F21" s="40" t="n"/>
      <c r="G21" s="40" t="n"/>
    </row>
    <row r="24" ht="24" customHeight="1">
      <c r="B24" s="27" t="inlineStr">
        <is>
          <t>ЗАДАЧА № 7. Надежность системы из 6000 последовательных элементов (t = 50 ч)</t>
        </is>
      </c>
      <c r="C24" s="2" t="n"/>
      <c r="D24" s="2" t="n"/>
      <c r="E24" s="2" t="n"/>
      <c r="F24" s="2" t="n"/>
      <c r="G24" s="2" t="n"/>
    </row>
    <row r="25" ht="18" customHeight="1">
      <c r="B25" s="28" t="inlineStr">
        <is>
          <t>Условие: Система управления состоит из 6000 элементов, соединенных последовательно, средняя интенсивность отказов которых λср(t) = 0,2∙10⁻⁶ ч⁻¹. Необходимо определить вероятность безотказной работы в течение Т = 50 ч и среднее время безотказной работы системы.</t>
        </is>
      </c>
      <c r="C25" s="29" t="n"/>
      <c r="D25" s="29" t="n"/>
      <c r="E25" s="29" t="n"/>
      <c r="F25" s="29" t="n"/>
      <c r="G25" s="29" t="n"/>
    </row>
    <row r="26" ht="18" customHeight="1">
      <c r="B26" s="29" t="n"/>
      <c r="C26" s="29" t="n"/>
      <c r="D26" s="29" t="n"/>
      <c r="E26" s="29" t="n"/>
      <c r="F26" s="29" t="n"/>
      <c r="G26" s="29" t="n"/>
    </row>
    <row r="27" ht="20" customHeight="1">
      <c r="B27" s="30" t="inlineStr">
        <is>
          <t>Таблица 1. Исходные данные задачи</t>
        </is>
      </c>
    </row>
    <row r="28" ht="22" customHeight="1">
      <c r="B28" s="31" t="inlineStr">
        <is>
          <t>Наименование параметра</t>
        </is>
      </c>
      <c r="C28" s="31" t="inlineStr">
        <is>
          <t>Обозначение</t>
        </is>
      </c>
      <c r="D28" s="31" t="inlineStr">
        <is>
          <t>Значение</t>
        </is>
      </c>
      <c r="E28" s="31" t="inlineStr">
        <is>
          <t>Ед. изм.</t>
        </is>
      </c>
      <c r="F28" s="31" t="inlineStr">
        <is>
          <t>Пояснение</t>
        </is>
      </c>
    </row>
    <row r="29" ht="20" customHeight="1">
      <c r="B29" s="32" t="inlineStr">
        <is>
          <t>Число элементов в системе</t>
        </is>
      </c>
      <c r="C29" s="33" t="inlineStr">
        <is>
          <t>n</t>
        </is>
      </c>
      <c r="D29" s="34" t="n">
        <v>6000</v>
      </c>
      <c r="E29" s="35" t="inlineStr">
        <is>
          <t>шт.</t>
        </is>
      </c>
      <c r="F29" s="36" t="inlineStr">
        <is>
          <t>Количество последовательных элементов</t>
        </is>
      </c>
    </row>
    <row r="30" ht="20" customHeight="1">
      <c r="B30" s="32" t="inlineStr">
        <is>
          <t>Средняя интенсивность отказов элемента</t>
        </is>
      </c>
      <c r="C30" s="33" t="inlineStr">
        <is>
          <t>l_elem</t>
        </is>
      </c>
      <c r="D30" s="41" t="n">
        <v>2e-07</v>
      </c>
      <c r="E30" s="35" t="inlineStr">
        <is>
          <t>1/ч</t>
        </is>
      </c>
      <c r="F30" s="36" t="inlineStr">
        <is>
          <t>λср = 0.2·10⁻⁶ ч⁻¹ = 2·10⁻⁷ ч⁻¹</t>
        </is>
      </c>
    </row>
    <row r="31" ht="20" customHeight="1">
      <c r="B31" s="32" t="inlineStr">
        <is>
          <t>Время непрерывной работы</t>
        </is>
      </c>
      <c r="C31" s="33" t="inlineStr">
        <is>
          <t>T</t>
        </is>
      </c>
      <c r="D31" s="34" t="n">
        <v>50</v>
      </c>
      <c r="E31" s="35" t="inlineStr">
        <is>
          <t>ч</t>
        </is>
      </c>
      <c r="F31" s="36" t="inlineStr">
        <is>
          <t>Период испытаний T = 50 ч</t>
        </is>
      </c>
    </row>
    <row r="33" ht="20" customHeight="1">
      <c r="B33" s="30" t="inlineStr">
        <is>
          <t>Таблица 2. Расчет показателей надежности</t>
        </is>
      </c>
    </row>
    <row r="34" ht="24" customHeight="1">
      <c r="B34" s="37" t="inlineStr">
        <is>
          <t>Определяемый показатель</t>
        </is>
      </c>
      <c r="C34" s="37" t="inlineStr">
        <is>
          <t>Обозначение</t>
        </is>
      </c>
      <c r="D34" s="37" t="inlineStr">
        <is>
          <t>Математическая формула</t>
        </is>
      </c>
      <c r="E34" s="37" t="inlineStr">
        <is>
          <t>Значение (формула Excel)</t>
        </is>
      </c>
      <c r="F34" s="37" t="inlineStr">
        <is>
          <t>Ед. изм.</t>
        </is>
      </c>
      <c r="G34" s="37" t="inlineStr">
        <is>
          <t>Пояснение к результату</t>
        </is>
      </c>
    </row>
    <row r="35" ht="22" customHeight="1">
      <c r="B35" s="32" t="inlineStr">
        <is>
          <t>Интенсивность отказов системы</t>
        </is>
      </c>
      <c r="C35" s="33" t="inlineStr">
        <is>
          <t>lc</t>
        </is>
      </c>
      <c r="D35" s="38" t="inlineStr">
        <is>
          <t>n · λср</t>
        </is>
      </c>
      <c r="E35" s="11">
        <f>D29*D30</f>
        <v/>
      </c>
      <c r="F35" s="35" t="inlineStr">
        <is>
          <t>1/ч</t>
        </is>
      </c>
      <c r="G35" s="36" t="inlineStr">
        <is>
          <t>λc = 6000 · 0.2·10⁻⁶ = 0.0012 ч⁻¹ (1.2·10⁻³ ч⁻¹)</t>
        </is>
      </c>
    </row>
    <row r="36" ht="22" customHeight="1">
      <c r="B36" s="32" t="inlineStr">
        <is>
          <t>Показатель экспоненты (λc · T)</t>
        </is>
      </c>
      <c r="C36" s="33" t="inlineStr">
        <is>
          <t>lcT</t>
        </is>
      </c>
      <c r="D36" s="38" t="inlineStr">
        <is>
          <t>λc · T</t>
        </is>
      </c>
      <c r="E36" s="18">
        <f>E35*D31</f>
        <v/>
      </c>
      <c r="F36" s="35" t="inlineStr">
        <is>
          <t>—</t>
        </is>
      </c>
      <c r="G36" s="36" t="inlineStr">
        <is>
          <t>λc · T = 0.0012 · 50 = 0.0600</t>
        </is>
      </c>
    </row>
    <row r="37" ht="22" customHeight="1">
      <c r="B37" s="32" t="inlineStr">
        <is>
          <t>Вероятность безотказной работы системы</t>
        </is>
      </c>
      <c r="C37" s="33" t="inlineStr">
        <is>
          <t>Pc_50</t>
        </is>
      </c>
      <c r="D37" s="38" t="inlineStr">
        <is>
          <t>EXP(-λc · T)</t>
        </is>
      </c>
      <c r="E37" s="18">
        <f>EXP(-E36)</f>
        <v/>
      </c>
      <c r="F37" s="35" t="inlineStr">
        <is>
          <t>—</t>
        </is>
      </c>
      <c r="G37" s="36" t="inlineStr">
        <is>
          <t>Pc(50) = exp(-0.06) ≈ 0.9418 (94.18%)</t>
        </is>
      </c>
    </row>
    <row r="38" ht="22" customHeight="1">
      <c r="B38" s="32" t="inlineStr">
        <is>
          <t>Вероятность отказа системы (доп.)</t>
        </is>
      </c>
      <c r="C38" s="33" t="inlineStr">
        <is>
          <t>qc_50</t>
        </is>
      </c>
      <c r="D38" s="38" t="inlineStr">
        <is>
          <t>1 - Pc(T)</t>
        </is>
      </c>
      <c r="E38" s="18">
        <f>1-E37</f>
        <v/>
      </c>
      <c r="F38" s="35" t="inlineStr">
        <is>
          <t>—</t>
        </is>
      </c>
      <c r="G38" s="36" t="inlineStr">
        <is>
          <t>qc(50) = 1 - 0.9418 = 0.0582 (5.82%)</t>
        </is>
      </c>
    </row>
    <row r="39" ht="22" customHeight="1">
      <c r="B39" s="32" t="inlineStr">
        <is>
          <t>Частота отказов системы (доп.)</t>
        </is>
      </c>
      <c r="C39" s="33" t="inlineStr">
        <is>
          <t>fc_50</t>
        </is>
      </c>
      <c r="D39" s="38" t="inlineStr">
        <is>
          <t>λc · Pc(T)</t>
        </is>
      </c>
      <c r="E39" s="11">
        <f>E35*E37</f>
        <v/>
      </c>
      <c r="F39" s="35" t="inlineStr">
        <is>
          <t>1/ч</t>
        </is>
      </c>
      <c r="G39" s="36" t="inlineStr">
        <is>
          <t>fc(50) = 0.0012 · 0.9418 ≈ 0.001130 ч⁻¹</t>
        </is>
      </c>
    </row>
    <row r="40" ht="22" customHeight="1">
      <c r="B40" s="32" t="inlineStr">
        <is>
          <t>Среднее время безотказной работы системы</t>
        </is>
      </c>
      <c r="C40" s="33" t="inlineStr">
        <is>
          <t>mtc</t>
        </is>
      </c>
      <c r="D40" s="38" t="inlineStr">
        <is>
          <t>1 / λc</t>
        </is>
      </c>
      <c r="E40" s="22">
        <f>1/E35</f>
        <v/>
      </c>
      <c r="F40" s="35" t="inlineStr">
        <is>
          <t>ч</t>
        </is>
      </c>
      <c r="G40" s="36" t="inlineStr">
        <is>
          <t>mtc = 1 / 0.0012 = 833.33 ч</t>
        </is>
      </c>
    </row>
    <row r="41" ht="24" customHeight="1">
      <c r="B41" s="39" t="inlineStr">
        <is>
          <t>ВЫВОД / ОТВЕТ: Для системы из 6000 элементов: вероятность безотказной работы за 50 ч равна Pc(50) = 0,9418 (94,18%); среднее время безотказной работы системы mtc = 833,33 ч (интенсивность отказов λc = 1,2·10⁻³ ч⁻¹).</t>
        </is>
      </c>
      <c r="C41" s="40" t="n"/>
      <c r="D41" s="40" t="n"/>
      <c r="E41" s="40" t="n"/>
      <c r="F41" s="40" t="n"/>
      <c r="G41" s="40" t="n"/>
    </row>
    <row r="44" ht="24" customHeight="1">
      <c r="B44" s="27" t="inlineStr">
        <is>
          <t>ЗАДАЧА № 8. Надежность системы из 5000 последовательных элементов (t = 120 ч)</t>
        </is>
      </c>
      <c r="C44" s="2" t="n"/>
      <c r="D44" s="2" t="n"/>
      <c r="E44" s="2" t="n"/>
      <c r="F44" s="2" t="n"/>
      <c r="G44" s="2" t="n"/>
    </row>
    <row r="45" ht="18" customHeight="1">
      <c r="B45" s="28" t="inlineStr">
        <is>
          <t>Условие: Система управления состоит из 5000 элементов, соединенных последовательно, средняя интенсивность отказов которых λср(t) = 0,3∙10⁻⁶ ч⁻¹. Необходимо определить вероятность безотказной работы в течение Т = 120 ч и среднее время безотказной работы системы.</t>
        </is>
      </c>
      <c r="C45" s="29" t="n"/>
      <c r="D45" s="29" t="n"/>
      <c r="E45" s="29" t="n"/>
      <c r="F45" s="29" t="n"/>
      <c r="G45" s="29" t="n"/>
    </row>
    <row r="46" ht="18" customHeight="1">
      <c r="B46" s="29" t="n"/>
      <c r="C46" s="29" t="n"/>
      <c r="D46" s="29" t="n"/>
      <c r="E46" s="29" t="n"/>
      <c r="F46" s="29" t="n"/>
      <c r="G46" s="29" t="n"/>
    </row>
    <row r="47" ht="20" customHeight="1">
      <c r="B47" s="30" t="inlineStr">
        <is>
          <t>Таблица 1. Исходные данные задачи</t>
        </is>
      </c>
    </row>
    <row r="48" ht="22" customHeight="1">
      <c r="B48" s="31" t="inlineStr">
        <is>
          <t>Наименование параметра</t>
        </is>
      </c>
      <c r="C48" s="31" t="inlineStr">
        <is>
          <t>Обозначение</t>
        </is>
      </c>
      <c r="D48" s="31" t="inlineStr">
        <is>
          <t>Значение</t>
        </is>
      </c>
      <c r="E48" s="31" t="inlineStr">
        <is>
          <t>Ед. изм.</t>
        </is>
      </c>
      <c r="F48" s="31" t="inlineStr">
        <is>
          <t>Пояснение</t>
        </is>
      </c>
    </row>
    <row r="49" ht="20" customHeight="1">
      <c r="B49" s="32" t="inlineStr">
        <is>
          <t>Число элементов в системе</t>
        </is>
      </c>
      <c r="C49" s="33" t="inlineStr">
        <is>
          <t>n</t>
        </is>
      </c>
      <c r="D49" s="34" t="n">
        <v>5000</v>
      </c>
      <c r="E49" s="35" t="inlineStr">
        <is>
          <t>шт.</t>
        </is>
      </c>
      <c r="F49" s="36" t="inlineStr">
        <is>
          <t>Количество последовательных элементов</t>
        </is>
      </c>
    </row>
    <row r="50" ht="20" customHeight="1">
      <c r="B50" s="32" t="inlineStr">
        <is>
          <t>Средняя интенсивность отказов элемента</t>
        </is>
      </c>
      <c r="C50" s="33" t="inlineStr">
        <is>
          <t>l_elem</t>
        </is>
      </c>
      <c r="D50" s="41" t="n">
        <v>3e-07</v>
      </c>
      <c r="E50" s="35" t="inlineStr">
        <is>
          <t>1/ч</t>
        </is>
      </c>
      <c r="F50" s="36" t="inlineStr">
        <is>
          <t>λср = 0.3·10⁻⁶ ч⁻¹ = 3·10⁻⁷ ч⁻¹</t>
        </is>
      </c>
    </row>
    <row r="51" ht="20" customHeight="1">
      <c r="B51" s="32" t="inlineStr">
        <is>
          <t>Время непрерывной работы</t>
        </is>
      </c>
      <c r="C51" s="33" t="inlineStr">
        <is>
          <t>T</t>
        </is>
      </c>
      <c r="D51" s="34" t="n">
        <v>120</v>
      </c>
      <c r="E51" s="35" t="inlineStr">
        <is>
          <t>ч</t>
        </is>
      </c>
      <c r="F51" s="36" t="inlineStr">
        <is>
          <t>Период испытаний T = 120 ч</t>
        </is>
      </c>
    </row>
    <row r="53" ht="20" customHeight="1">
      <c r="B53" s="30" t="inlineStr">
        <is>
          <t>Таблица 2. Расчет показателей надежности</t>
        </is>
      </c>
    </row>
    <row r="54" ht="24" customHeight="1">
      <c r="B54" s="37" t="inlineStr">
        <is>
          <t>Определяемый показатель</t>
        </is>
      </c>
      <c r="C54" s="37" t="inlineStr">
        <is>
          <t>Обозначение</t>
        </is>
      </c>
      <c r="D54" s="37" t="inlineStr">
        <is>
          <t>Математическая формула</t>
        </is>
      </c>
      <c r="E54" s="37" t="inlineStr">
        <is>
          <t>Значение (формула Excel)</t>
        </is>
      </c>
      <c r="F54" s="37" t="inlineStr">
        <is>
          <t>Ед. изм.</t>
        </is>
      </c>
      <c r="G54" s="37" t="inlineStr">
        <is>
          <t>Пояснение к результату</t>
        </is>
      </c>
    </row>
    <row r="55" ht="22" customHeight="1">
      <c r="B55" s="32" t="inlineStr">
        <is>
          <t>Интенсивность отказов системы</t>
        </is>
      </c>
      <c r="C55" s="33" t="inlineStr">
        <is>
          <t>lc</t>
        </is>
      </c>
      <c r="D55" s="38" t="inlineStr">
        <is>
          <t>n · λср</t>
        </is>
      </c>
      <c r="E55" s="11">
        <f>D49*D50</f>
        <v/>
      </c>
      <c r="F55" s="35" t="inlineStr">
        <is>
          <t>1/ч</t>
        </is>
      </c>
      <c r="G55" s="36" t="inlineStr">
        <is>
          <t>λc = 5000 · 0.3·10⁻⁶ = 0.0015 ч⁻¹ (1.5·10⁻³ ч⁻¹)</t>
        </is>
      </c>
    </row>
    <row r="56" ht="22" customHeight="1">
      <c r="B56" s="32" t="inlineStr">
        <is>
          <t>Показатель экспоненты (λc · T)</t>
        </is>
      </c>
      <c r="C56" s="33" t="inlineStr">
        <is>
          <t>lcT</t>
        </is>
      </c>
      <c r="D56" s="38" t="inlineStr">
        <is>
          <t>λc · T</t>
        </is>
      </c>
      <c r="E56" s="18">
        <f>E55*D51</f>
        <v/>
      </c>
      <c r="F56" s="35" t="inlineStr">
        <is>
          <t>—</t>
        </is>
      </c>
      <c r="G56" s="36" t="inlineStr">
        <is>
          <t>λc · T = 0.0015 · 120 = 0.1800</t>
        </is>
      </c>
    </row>
    <row r="57" ht="22" customHeight="1">
      <c r="B57" s="32" t="inlineStr">
        <is>
          <t>Вероятность безотказной работы системы</t>
        </is>
      </c>
      <c r="C57" s="33" t="inlineStr">
        <is>
          <t>Pc_120</t>
        </is>
      </c>
      <c r="D57" s="38" t="inlineStr">
        <is>
          <t>EXP(-λc · T)</t>
        </is>
      </c>
      <c r="E57" s="18">
        <f>EXP(-E56)</f>
        <v/>
      </c>
      <c r="F57" s="35" t="inlineStr">
        <is>
          <t>—</t>
        </is>
      </c>
      <c r="G57" s="36" t="inlineStr">
        <is>
          <t>Pc(120) = exp(-0.18) ≈ 0.8353 (83.53%)</t>
        </is>
      </c>
    </row>
    <row r="58" ht="22" customHeight="1">
      <c r="B58" s="32" t="inlineStr">
        <is>
          <t>Вероятность отказа системы (доп.)</t>
        </is>
      </c>
      <c r="C58" s="33" t="inlineStr">
        <is>
          <t>qc_120</t>
        </is>
      </c>
      <c r="D58" s="38" t="inlineStr">
        <is>
          <t>1 - Pc(T)</t>
        </is>
      </c>
      <c r="E58" s="18">
        <f>1-E57</f>
        <v/>
      </c>
      <c r="F58" s="35" t="inlineStr">
        <is>
          <t>—</t>
        </is>
      </c>
      <c r="G58" s="36" t="inlineStr">
        <is>
          <t>qc(120) = 1 - 0.8353 = 0.1647 (16.47%)</t>
        </is>
      </c>
    </row>
    <row r="59" ht="22" customHeight="1">
      <c r="B59" s="32" t="inlineStr">
        <is>
          <t>Частота отказов системы (доп.)</t>
        </is>
      </c>
      <c r="C59" s="33" t="inlineStr">
        <is>
          <t>fc_120</t>
        </is>
      </c>
      <c r="D59" s="38" t="inlineStr">
        <is>
          <t>λc · Pc(T)</t>
        </is>
      </c>
      <c r="E59" s="11">
        <f>E55*E57</f>
        <v/>
      </c>
      <c r="F59" s="35" t="inlineStr">
        <is>
          <t>1/ч</t>
        </is>
      </c>
      <c r="G59" s="36" t="inlineStr">
        <is>
          <t>fc(120) = 0.0015 · 0.8353 ≈ 0.001253 ч⁻¹</t>
        </is>
      </c>
    </row>
    <row r="60" ht="22" customHeight="1">
      <c r="B60" s="32" t="inlineStr">
        <is>
          <t>Среднее время безотказной работы системы</t>
        </is>
      </c>
      <c r="C60" s="33" t="inlineStr">
        <is>
          <t>mtc</t>
        </is>
      </c>
      <c r="D60" s="38" t="inlineStr">
        <is>
          <t>1 / λc</t>
        </is>
      </c>
      <c r="E60" s="22">
        <f>1/E55</f>
        <v/>
      </c>
      <c r="F60" s="35" t="inlineStr">
        <is>
          <t>ч</t>
        </is>
      </c>
      <c r="G60" s="36" t="inlineStr">
        <is>
          <t>mtc = 1 / 0.0015 = 666.67 ч</t>
        </is>
      </c>
    </row>
    <row r="61" ht="24" customHeight="1">
      <c r="B61" s="39" t="inlineStr">
        <is>
          <t>ВЫВОД / ОТВЕТ: Для системы из 5000 элементов: вероятность безотказной работы за 120 ч равна Pc(120) = 0,8353 (83,53%); среднее время безотказной работы mtc = 666,67 ч (интенсивность отказов λc = 1,5·10⁻³ ч⁻¹).</t>
        </is>
      </c>
      <c r="C61" s="40" t="n"/>
      <c r="D61" s="40" t="n"/>
      <c r="E61" s="40" t="n"/>
      <c r="F61" s="40" t="n"/>
      <c r="G61" s="40" t="n"/>
    </row>
    <row r="64" ht="24" customHeight="1">
      <c r="B64" s="27" t="inlineStr">
        <is>
          <t>ЗАДАЧА № 9. Надежность невосстанавливаемой ЭВМ из 200000 элементов в течение суток</t>
        </is>
      </c>
      <c r="C64" s="2" t="n"/>
      <c r="D64" s="2" t="n"/>
      <c r="E64" s="2" t="n"/>
      <c r="F64" s="2" t="n"/>
      <c r="G64" s="2" t="n"/>
    </row>
    <row r="65" ht="18" customHeight="1">
      <c r="B65" s="28" t="inlineStr">
        <is>
          <t>Условие: Невосстанавливаемая в процессе работы электронная машина состоит из 200000 элементов, соединенных последовательно, средняя интенсивность отказов которых λср(t) = 0,3∙10⁻⁶ ч⁻¹. Требуется определить вероятность безотказной работы электронной машины в течение суток и среднее время безотказной работы электронной машины.</t>
        </is>
      </c>
      <c r="C65" s="29" t="n"/>
      <c r="D65" s="29" t="n"/>
      <c r="E65" s="29" t="n"/>
      <c r="F65" s="29" t="n"/>
      <c r="G65" s="29" t="n"/>
    </row>
    <row r="66" ht="18" customHeight="1">
      <c r="B66" s="29" t="n"/>
      <c r="C66" s="29" t="n"/>
      <c r="D66" s="29" t="n"/>
      <c r="E66" s="29" t="n"/>
      <c r="F66" s="29" t="n"/>
      <c r="G66" s="29" t="n"/>
    </row>
    <row r="67" ht="20" customHeight="1">
      <c r="B67" s="30" t="inlineStr">
        <is>
          <t>Таблица 1. Исходные данные задачи</t>
        </is>
      </c>
    </row>
    <row r="68" ht="22" customHeight="1">
      <c r="B68" s="31" t="inlineStr">
        <is>
          <t>Наименование параметра</t>
        </is>
      </c>
      <c r="C68" s="31" t="inlineStr">
        <is>
          <t>Обозначение</t>
        </is>
      </c>
      <c r="D68" s="31" t="inlineStr">
        <is>
          <t>Значение</t>
        </is>
      </c>
      <c r="E68" s="31" t="inlineStr">
        <is>
          <t>Ед. изм.</t>
        </is>
      </c>
      <c r="F68" s="31" t="inlineStr">
        <is>
          <t>Пояснение</t>
        </is>
      </c>
    </row>
    <row r="69" ht="20" customHeight="1">
      <c r="B69" s="32" t="inlineStr">
        <is>
          <t>Число элементов машины</t>
        </is>
      </c>
      <c r="C69" s="33" t="inlineStr">
        <is>
          <t>n</t>
        </is>
      </c>
      <c r="D69" s="34" t="n">
        <v>200000</v>
      </c>
      <c r="E69" s="35" t="inlineStr">
        <is>
          <t>шт.</t>
        </is>
      </c>
      <c r="F69" s="36" t="inlineStr">
        <is>
          <t>Количество последовательных элементов</t>
        </is>
      </c>
    </row>
    <row r="70" ht="20" customHeight="1">
      <c r="B70" s="32" t="inlineStr">
        <is>
          <t>Интенсивность отказов одного элемента</t>
        </is>
      </c>
      <c r="C70" s="33" t="inlineStr">
        <is>
          <t>l_elem</t>
        </is>
      </c>
      <c r="D70" s="41" t="n">
        <v>3e-07</v>
      </c>
      <c r="E70" s="35" t="inlineStr">
        <is>
          <t>1/ч</t>
        </is>
      </c>
      <c r="F70" s="36" t="inlineStr">
        <is>
          <t>λср = 0.3·10⁻⁶ ч⁻¹</t>
        </is>
      </c>
    </row>
    <row r="71" ht="20" customHeight="1">
      <c r="B71" s="32" t="inlineStr">
        <is>
          <t>Время работы (сутки)</t>
        </is>
      </c>
      <c r="C71" s="33" t="inlineStr">
        <is>
          <t>t</t>
        </is>
      </c>
      <c r="D71" s="34" t="n">
        <v>24</v>
      </c>
      <c r="E71" s="35" t="inlineStr">
        <is>
          <t>ч</t>
        </is>
      </c>
      <c r="F71" s="36" t="inlineStr">
        <is>
          <t>Суточный интервал работы (1 сутки = 24 ч)</t>
        </is>
      </c>
    </row>
    <row r="73" ht="20" customHeight="1">
      <c r="B73" s="30" t="inlineStr">
        <is>
          <t>Таблица 2. Расчет показателей надежности</t>
        </is>
      </c>
    </row>
    <row r="74" ht="24" customHeight="1">
      <c r="B74" s="37" t="inlineStr">
        <is>
          <t>Определяемый показатель</t>
        </is>
      </c>
      <c r="C74" s="37" t="inlineStr">
        <is>
          <t>Обозначение</t>
        </is>
      </c>
      <c r="D74" s="37" t="inlineStr">
        <is>
          <t>Математическая формула</t>
        </is>
      </c>
      <c r="E74" s="37" t="inlineStr">
        <is>
          <t>Значение (формула Excel)</t>
        </is>
      </c>
      <c r="F74" s="37" t="inlineStr">
        <is>
          <t>Ед. изм.</t>
        </is>
      </c>
      <c r="G74" s="37" t="inlineStr">
        <is>
          <t>Пояснение к результату</t>
        </is>
      </c>
    </row>
    <row r="75" ht="22" customHeight="1">
      <c r="B75" s="32" t="inlineStr">
        <is>
          <t>Интенсивность отказов машины</t>
        </is>
      </c>
      <c r="C75" s="33" t="inlineStr">
        <is>
          <t>lc</t>
        </is>
      </c>
      <c r="D75" s="38" t="inlineStr">
        <is>
          <t>n · λср</t>
        </is>
      </c>
      <c r="E75" s="11">
        <f>D69*D70</f>
        <v/>
      </c>
      <c r="F75" s="35" t="inlineStr">
        <is>
          <t>1/ч</t>
        </is>
      </c>
      <c r="G75" s="36" t="inlineStr">
        <is>
          <t>λc = 200000 · 0.3·10⁻⁶ = 0.06 ч⁻¹ (6·10⁻² ч⁻¹)</t>
        </is>
      </c>
    </row>
    <row r="76" ht="22" customHeight="1">
      <c r="B76" s="32" t="inlineStr">
        <is>
          <t>Показатель экспоненты (λc · t)</t>
        </is>
      </c>
      <c r="C76" s="33" t="inlineStr">
        <is>
          <t>lct</t>
        </is>
      </c>
      <c r="D76" s="38" t="inlineStr">
        <is>
          <t>λc · t</t>
        </is>
      </c>
      <c r="E76" s="18">
        <f>E75*D71</f>
        <v/>
      </c>
      <c r="F76" s="35" t="inlineStr">
        <is>
          <t>—</t>
        </is>
      </c>
      <c r="G76" s="36" t="inlineStr">
        <is>
          <t>λc · t = 0.06 · 24 = 1.4400</t>
        </is>
      </c>
    </row>
    <row r="77" ht="22" customHeight="1">
      <c r="B77" s="32" t="inlineStr">
        <is>
          <t>Вероятность безотказной работы за сутки</t>
        </is>
      </c>
      <c r="C77" s="33" t="inlineStr">
        <is>
          <t>Pc_24</t>
        </is>
      </c>
      <c r="D77" s="38" t="inlineStr">
        <is>
          <t>EXP(-λc · t)</t>
        </is>
      </c>
      <c r="E77" s="18">
        <f>EXP(-E76)</f>
        <v/>
      </c>
      <c r="F77" s="35" t="inlineStr">
        <is>
          <t>—</t>
        </is>
      </c>
      <c r="G77" s="36" t="inlineStr">
        <is>
          <t>Pc(24) = exp(-1.44) ≈ 0.2369 (23.69%)</t>
        </is>
      </c>
    </row>
    <row r="78" ht="22" customHeight="1">
      <c r="B78" s="32" t="inlineStr">
        <is>
          <t>Вероятность отказа машины за сутки</t>
        </is>
      </c>
      <c r="C78" s="33" t="inlineStr">
        <is>
          <t>qc_24</t>
        </is>
      </c>
      <c r="D78" s="38" t="inlineStr">
        <is>
          <t>1 - Pc(24)</t>
        </is>
      </c>
      <c r="E78" s="18">
        <f>1-E77</f>
        <v/>
      </c>
      <c r="F78" s="35" t="inlineStr">
        <is>
          <t>—</t>
        </is>
      </c>
      <c r="G78" s="36" t="inlineStr">
        <is>
          <t>qc(24) = 1 - 0.2369 = 0.7631 (76.31%)</t>
        </is>
      </c>
    </row>
    <row r="79" ht="22" customHeight="1">
      <c r="B79" s="32" t="inlineStr">
        <is>
          <t>Частота отказов машины (доп.)</t>
        </is>
      </c>
      <c r="C79" s="33" t="inlineStr">
        <is>
          <t>fc_24</t>
        </is>
      </c>
      <c r="D79" s="38" t="inlineStr">
        <is>
          <t>λc · Pc(24)</t>
        </is>
      </c>
      <c r="E79" s="11">
        <f>E75*E77</f>
        <v/>
      </c>
      <c r="F79" s="35" t="inlineStr">
        <is>
          <t>1/ч</t>
        </is>
      </c>
      <c r="G79" s="36" t="inlineStr">
        <is>
          <t>fc(24) = 0.06 · 0.2369 ≈ 0.014216 ч⁻¹</t>
        </is>
      </c>
    </row>
    <row r="80" ht="22" customHeight="1">
      <c r="B80" s="32" t="inlineStr">
        <is>
          <t>Среднее время безотказной работы машины</t>
        </is>
      </c>
      <c r="C80" s="33" t="inlineStr">
        <is>
          <t>mtc</t>
        </is>
      </c>
      <c r="D80" s="38" t="inlineStr">
        <is>
          <t>1 / λc</t>
        </is>
      </c>
      <c r="E80" s="22">
        <f>1/E75</f>
        <v/>
      </c>
      <c r="F80" s="35" t="inlineStr">
        <is>
          <t>ч</t>
        </is>
      </c>
      <c r="G80" s="36" t="inlineStr">
        <is>
          <t>mtc = 1 / 0.06 = 16.67 ч (16 ч 40 мин)</t>
        </is>
      </c>
    </row>
    <row r="81" ht="24" customHeight="1">
      <c r="B81" s="39" t="inlineStr">
        <is>
          <t>ВЫВОД / ОТВЕТ: Для ЭВМ из 200000 элементов: суточная вероятность безотказной работы Pc(24) = 0,2369 (23,69%); среднее время безотказной работы mtc = 16,67 ч (16 ч 40 мин; интенсивность отказов λc = 0,06 ч⁻¹).</t>
        </is>
      </c>
      <c r="C81" s="40" t="n"/>
      <c r="D81" s="40" t="n"/>
      <c r="E81" s="40" t="n"/>
      <c r="F81" s="40" t="n"/>
      <c r="G81" s="40" t="n"/>
    </row>
    <row r="84" ht="24" customHeight="1">
      <c r="B84" s="27" t="inlineStr">
        <is>
          <t>ЗАДАЧА № 10. Расчет Pc(t), qc(t), fc(t), mtc для системы из 12600 элементов (t = 50 ч)</t>
        </is>
      </c>
      <c r="C84" s="2" t="n"/>
      <c r="D84" s="2" t="n"/>
      <c r="E84" s="2" t="n"/>
      <c r="F84" s="2" t="n"/>
      <c r="G84" s="2" t="n"/>
    </row>
    <row r="85" ht="18" customHeight="1">
      <c r="B85" s="28" t="inlineStr">
        <is>
          <t>Условие: Система состоит из 12600 элементов, средняя интенсивность отказов которых λср = 0,32∙10⁻⁶ ч⁻¹. Требуется определить Pc(t), qc(t), fc(t), mtc для t = 50 ч.</t>
        </is>
      </c>
      <c r="C85" s="29" t="n"/>
      <c r="D85" s="29" t="n"/>
      <c r="E85" s="29" t="n"/>
      <c r="F85" s="29" t="n"/>
      <c r="G85" s="29" t="n"/>
    </row>
    <row r="86" ht="18" customHeight="1">
      <c r="B86" s="29" t="n"/>
      <c r="C86" s="29" t="n"/>
      <c r="D86" s="29" t="n"/>
      <c r="E86" s="29" t="n"/>
      <c r="F86" s="29" t="n"/>
      <c r="G86" s="29" t="n"/>
    </row>
    <row r="87" ht="20" customHeight="1">
      <c r="B87" s="30" t="inlineStr">
        <is>
          <t>Таблица 1. Исходные данные задачи</t>
        </is>
      </c>
    </row>
    <row r="88" ht="22" customHeight="1">
      <c r="B88" s="31" t="inlineStr">
        <is>
          <t>Наименование параметра</t>
        </is>
      </c>
      <c r="C88" s="31" t="inlineStr">
        <is>
          <t>Обозначение</t>
        </is>
      </c>
      <c r="D88" s="31" t="inlineStr">
        <is>
          <t>Значение</t>
        </is>
      </c>
      <c r="E88" s="31" t="inlineStr">
        <is>
          <t>Ед. изм.</t>
        </is>
      </c>
      <c r="F88" s="31" t="inlineStr">
        <is>
          <t>Пояснение</t>
        </is>
      </c>
    </row>
    <row r="89" ht="20" customHeight="1">
      <c r="B89" s="32" t="inlineStr">
        <is>
          <t>Число элементов в системе</t>
        </is>
      </c>
      <c r="C89" s="33" t="inlineStr">
        <is>
          <t>n</t>
        </is>
      </c>
      <c r="D89" s="34" t="n">
        <v>12600</v>
      </c>
      <c r="E89" s="35" t="inlineStr">
        <is>
          <t>шт.</t>
        </is>
      </c>
      <c r="F89" s="36" t="inlineStr">
        <is>
          <t>Количество последовательных элементов</t>
        </is>
      </c>
    </row>
    <row r="90" ht="20" customHeight="1">
      <c r="B90" s="32" t="inlineStr">
        <is>
          <t>Интенсивность отказов элемента</t>
        </is>
      </c>
      <c r="C90" s="33" t="inlineStr">
        <is>
          <t>l_elem</t>
        </is>
      </c>
      <c r="D90" s="41" t="n">
        <v>3.2e-07</v>
      </c>
      <c r="E90" s="35" t="inlineStr">
        <is>
          <t>1/ч</t>
        </is>
      </c>
      <c r="F90" s="36" t="inlineStr">
        <is>
          <t>λср = 0.32·10⁻⁶ ч⁻¹</t>
        </is>
      </c>
    </row>
    <row r="91" ht="20" customHeight="1">
      <c r="B91" s="32" t="inlineStr">
        <is>
          <t>Время наработки</t>
        </is>
      </c>
      <c r="C91" s="33" t="inlineStr">
        <is>
          <t>t</t>
        </is>
      </c>
      <c r="D91" s="34" t="n">
        <v>50</v>
      </c>
      <c r="E91" s="35" t="inlineStr">
        <is>
          <t>ч</t>
        </is>
      </c>
      <c r="F91" s="36" t="inlineStr">
        <is>
          <t>Контрольная точка t = 50 ч</t>
        </is>
      </c>
    </row>
    <row r="93" ht="20" customHeight="1">
      <c r="B93" s="30" t="inlineStr">
        <is>
          <t>Таблица 2. Расчет показателей надежности</t>
        </is>
      </c>
    </row>
    <row r="94" ht="24" customHeight="1">
      <c r="B94" s="37" t="inlineStr">
        <is>
          <t>Определяемый показатель</t>
        </is>
      </c>
      <c r="C94" s="37" t="inlineStr">
        <is>
          <t>Обозначение</t>
        </is>
      </c>
      <c r="D94" s="37" t="inlineStr">
        <is>
          <t>Математическая формула</t>
        </is>
      </c>
      <c r="E94" s="37" t="inlineStr">
        <is>
          <t>Значение (формула Excel)</t>
        </is>
      </c>
      <c r="F94" s="37" t="inlineStr">
        <is>
          <t>Ед. изм.</t>
        </is>
      </c>
      <c r="G94" s="37" t="inlineStr">
        <is>
          <t>Пояснение к результату</t>
        </is>
      </c>
    </row>
    <row r="95" ht="22" customHeight="1">
      <c r="B95" s="32" t="inlineStr">
        <is>
          <t>Интенсивность отказов системы</t>
        </is>
      </c>
      <c r="C95" s="33" t="inlineStr">
        <is>
          <t>lc</t>
        </is>
      </c>
      <c r="D95" s="38" t="inlineStr">
        <is>
          <t>n · λср</t>
        </is>
      </c>
      <c r="E95" s="11">
        <f>D89*D90</f>
        <v/>
      </c>
      <c r="F95" s="35" t="inlineStr">
        <is>
          <t>1/ч</t>
        </is>
      </c>
      <c r="G95" s="36" t="inlineStr">
        <is>
          <t>λc = 12600 · 0.32·10⁻⁶ = 0.004032 ч⁻¹ (4.032·10⁻³ ч⁻¹)</t>
        </is>
      </c>
    </row>
    <row r="96" ht="22" customHeight="1">
      <c r="B96" s="32" t="inlineStr">
        <is>
          <t>Показатель экспоненты (λc · t)</t>
        </is>
      </c>
      <c r="C96" s="33" t="inlineStr">
        <is>
          <t>lct</t>
        </is>
      </c>
      <c r="D96" s="38" t="inlineStr">
        <is>
          <t>λc · t</t>
        </is>
      </c>
      <c r="E96" s="18">
        <f>E95*D91</f>
        <v/>
      </c>
      <c r="F96" s="35" t="inlineStr">
        <is>
          <t>—</t>
        </is>
      </c>
      <c r="G96" s="36" t="inlineStr">
        <is>
          <t>λc · t = 0.004032 · 50 = 0.2016</t>
        </is>
      </c>
    </row>
    <row r="97" ht="22" customHeight="1">
      <c r="B97" s="32" t="inlineStr">
        <is>
          <t>Вероятность безотказной работы системы</t>
        </is>
      </c>
      <c r="C97" s="33" t="inlineStr">
        <is>
          <t>Pc_50</t>
        </is>
      </c>
      <c r="D97" s="38" t="inlineStr">
        <is>
          <t>EXP(-λc · t)</t>
        </is>
      </c>
      <c r="E97" s="18">
        <f>EXP(-E96)</f>
        <v/>
      </c>
      <c r="F97" s="35" t="inlineStr">
        <is>
          <t>—</t>
        </is>
      </c>
      <c r="G97" s="36" t="inlineStr">
        <is>
          <t>Pc(50) = exp(-0.2016) ≈ 0.8174 (81.74%)</t>
        </is>
      </c>
    </row>
    <row r="98" ht="22" customHeight="1">
      <c r="B98" s="32" t="inlineStr">
        <is>
          <t>Вероятность отказа системы</t>
        </is>
      </c>
      <c r="C98" s="33" t="inlineStr">
        <is>
          <t>qc_50</t>
        </is>
      </c>
      <c r="D98" s="38" t="inlineStr">
        <is>
          <t>1 - Pc(t)</t>
        </is>
      </c>
      <c r="E98" s="18">
        <f>1-E97</f>
        <v/>
      </c>
      <c r="F98" s="35" t="inlineStr">
        <is>
          <t>—</t>
        </is>
      </c>
      <c r="G98" s="36" t="inlineStr">
        <is>
          <t>qc(50) = 1 - 0.8174 = 0.1826 (18.26%)</t>
        </is>
      </c>
    </row>
    <row r="99" ht="22" customHeight="1">
      <c r="B99" s="32" t="inlineStr">
        <is>
          <t>Частота отказов системы</t>
        </is>
      </c>
      <c r="C99" s="33" t="inlineStr">
        <is>
          <t>fc_50</t>
        </is>
      </c>
      <c r="D99" s="38" t="inlineStr">
        <is>
          <t>λc · Pc(t)</t>
        </is>
      </c>
      <c r="E99" s="11">
        <f>E95*E97</f>
        <v/>
      </c>
      <c r="F99" s="35" t="inlineStr">
        <is>
          <t>1/ч</t>
        </is>
      </c>
      <c r="G99" s="36" t="inlineStr">
        <is>
          <t>fc(50) = 0.004032 · 0.8174 ≈ 0.003296 ч⁻¹</t>
        </is>
      </c>
    </row>
    <row r="100" ht="22" customHeight="1">
      <c r="B100" s="32" t="inlineStr">
        <is>
          <t>Среднее время безотказной работы системы</t>
        </is>
      </c>
      <c r="C100" s="33" t="inlineStr">
        <is>
          <t>mtc</t>
        </is>
      </c>
      <c r="D100" s="38" t="inlineStr">
        <is>
          <t>1 / λc</t>
        </is>
      </c>
      <c r="E100" s="22">
        <f>1/E95</f>
        <v/>
      </c>
      <c r="F100" s="35" t="inlineStr">
        <is>
          <t>ч</t>
        </is>
      </c>
      <c r="G100" s="36" t="inlineStr">
        <is>
          <t>mtc = 1 / 0.004032 ≈ 248.02 ч</t>
        </is>
      </c>
    </row>
    <row r="101" ht="24" customHeight="1">
      <c r="B101" s="39" t="inlineStr">
        <is>
          <t>ВЫВОД / ОТВЕТ: При t = 50 ч: интенсивность отказов λc = 0,004032 1/ч; Pc(50) = 0,8174 (81,74%); qc(50) = 0,1826 (18,26%); fc(50) = 0,003296 1/ч (3,30·10⁻³ ч⁻¹); mtc = 248,02 ч.</t>
        </is>
      </c>
      <c r="C101" s="40" t="n"/>
      <c r="D101" s="40" t="n"/>
      <c r="E101" s="40" t="n"/>
      <c r="F101" s="40" t="n"/>
      <c r="G101" s="40" t="n"/>
    </row>
    <row r="104" ht="24" customHeight="1">
      <c r="B104" s="27" t="inlineStr">
        <is>
          <t>ЗАДАЧА № 11. Определение p(t), q(t), f(t), mt для прибора с λ = 0,1∙10⁻⁶ ч⁻¹ (t = 180 ч)</t>
        </is>
      </c>
      <c r="C104" s="2" t="n"/>
      <c r="D104" s="2" t="n"/>
      <c r="E104" s="2" t="n"/>
      <c r="F104" s="2" t="n"/>
      <c r="G104" s="2" t="n"/>
    </row>
    <row r="105" ht="18" customHeight="1">
      <c r="B105" s="28" t="inlineStr">
        <is>
          <t>Условие: Время работы прибора до отказа подчинено экспоненциальному закону распределения с параметром λ(t) = 0,1∙10⁻⁶ ч⁻¹; t = 180 ч. Требуется определить количественные характеристики надежности элемента p(t), q(t), f(t), mt.</t>
        </is>
      </c>
      <c r="C105" s="29" t="n"/>
      <c r="D105" s="29" t="n"/>
      <c r="E105" s="29" t="n"/>
      <c r="F105" s="29" t="n"/>
      <c r="G105" s="29" t="n"/>
    </row>
    <row r="106" ht="18" customHeight="1">
      <c r="B106" s="29" t="n"/>
      <c r="C106" s="29" t="n"/>
      <c r="D106" s="29" t="n"/>
      <c r="E106" s="29" t="n"/>
      <c r="F106" s="29" t="n"/>
      <c r="G106" s="29" t="n"/>
    </row>
    <row r="107" ht="20" customHeight="1">
      <c r="B107" s="30" t="inlineStr">
        <is>
          <t>Таблица 1. Исходные данные задачи</t>
        </is>
      </c>
    </row>
    <row r="108" ht="22" customHeight="1">
      <c r="B108" s="31" t="inlineStr">
        <is>
          <t>Наименование параметра</t>
        </is>
      </c>
      <c r="C108" s="31" t="inlineStr">
        <is>
          <t>Обозначение</t>
        </is>
      </c>
      <c r="D108" s="31" t="inlineStr">
        <is>
          <t>Значение</t>
        </is>
      </c>
      <c r="E108" s="31" t="inlineStr">
        <is>
          <t>Ед. изм.</t>
        </is>
      </c>
      <c r="F108" s="31" t="inlineStr">
        <is>
          <t>Пояснение</t>
        </is>
      </c>
    </row>
    <row r="109" ht="20" customHeight="1">
      <c r="B109" s="32" t="inlineStr">
        <is>
          <t>Параметр распределения (интенсивность)</t>
        </is>
      </c>
      <c r="C109" s="33" t="inlineStr">
        <is>
          <t>l_val</t>
        </is>
      </c>
      <c r="D109" s="41" t="n">
        <v>1e-07</v>
      </c>
      <c r="E109" s="35" t="inlineStr">
        <is>
          <t>1/ч</t>
        </is>
      </c>
      <c r="F109" s="36" t="inlineStr">
        <is>
          <t>λ = const = 0.1·10⁻⁶ ч⁻¹ = 1·10⁻⁷ ч⁻¹</t>
        </is>
      </c>
    </row>
    <row r="110" ht="20" customHeight="1">
      <c r="B110" s="32" t="inlineStr">
        <is>
          <t>Время наработки</t>
        </is>
      </c>
      <c r="C110" s="33" t="inlineStr">
        <is>
          <t>t</t>
        </is>
      </c>
      <c r="D110" s="34" t="n">
        <v>180</v>
      </c>
      <c r="E110" s="35" t="inlineStr">
        <is>
          <t>ч</t>
        </is>
      </c>
      <c r="F110" s="36" t="inlineStr">
        <is>
          <t>Момент времени t = 180 ч</t>
        </is>
      </c>
    </row>
    <row r="112" ht="20" customHeight="1">
      <c r="B112" s="30" t="inlineStr">
        <is>
          <t>Таблица 2. Расчет показателей надежности</t>
        </is>
      </c>
    </row>
    <row r="113" ht="24" customHeight="1">
      <c r="B113" s="37" t="inlineStr">
        <is>
          <t>Определяемый показатель</t>
        </is>
      </c>
      <c r="C113" s="37" t="inlineStr">
        <is>
          <t>Обозначение</t>
        </is>
      </c>
      <c r="D113" s="37" t="inlineStr">
        <is>
          <t>Математическая формула</t>
        </is>
      </c>
      <c r="E113" s="37" t="inlineStr">
        <is>
          <t>Значение (формула Excel)</t>
        </is>
      </c>
      <c r="F113" s="37" t="inlineStr">
        <is>
          <t>Ед. изм.</t>
        </is>
      </c>
      <c r="G113" s="37" t="inlineStr">
        <is>
          <t>Пояснение к результату</t>
        </is>
      </c>
    </row>
    <row r="114" ht="22" customHeight="1">
      <c r="B114" s="32" t="inlineStr">
        <is>
          <t>Показатель экспоненты (λ · t)</t>
        </is>
      </c>
      <c r="C114" s="33" t="inlineStr">
        <is>
          <t>lt</t>
        </is>
      </c>
      <c r="D114" s="38" t="inlineStr">
        <is>
          <t>λ · t</t>
        </is>
      </c>
      <c r="E114" s="11">
        <f>D109*D110</f>
        <v/>
      </c>
      <c r="F114" s="35" t="inlineStr">
        <is>
          <t>—</t>
        </is>
      </c>
      <c r="G114" s="36" t="inlineStr">
        <is>
          <t>λ · t = 0.1·10⁻⁶ · 180 = 0.000018</t>
        </is>
      </c>
    </row>
    <row r="115" ht="22" customHeight="1">
      <c r="B115" s="32" t="inlineStr">
        <is>
          <t>Вероятность безотказной работы</t>
        </is>
      </c>
      <c r="C115" s="33" t="inlineStr">
        <is>
          <t>p_180</t>
        </is>
      </c>
      <c r="D115" s="38" t="inlineStr">
        <is>
          <t>EXP(-λ · t)</t>
        </is>
      </c>
      <c r="E115" s="11">
        <f>EXP(-E114)</f>
        <v/>
      </c>
      <c r="F115" s="35" t="inlineStr">
        <is>
          <t>—</t>
        </is>
      </c>
      <c r="G115" s="36" t="inlineStr">
        <is>
          <t>p(180) = exp(-0.000018) ≈ 0.999982 (99.9982%)</t>
        </is>
      </c>
    </row>
    <row r="116" ht="22" customHeight="1">
      <c r="B116" s="32" t="inlineStr">
        <is>
          <t>Вероятность отказа прибора</t>
        </is>
      </c>
      <c r="C116" s="33" t="inlineStr">
        <is>
          <t>q_180</t>
        </is>
      </c>
      <c r="D116" s="38" t="inlineStr">
        <is>
          <t>1 - p(t)</t>
        </is>
      </c>
      <c r="E116" s="11">
        <f>1-E115</f>
        <v/>
      </c>
      <c r="F116" s="35" t="inlineStr">
        <is>
          <t>—</t>
        </is>
      </c>
      <c r="G116" s="36" t="inlineStr">
        <is>
          <t>q(180) = 1 - 0.999982 = 0.000018 (1.80·10⁻⁵)</t>
        </is>
      </c>
    </row>
    <row r="117" ht="22" customHeight="1">
      <c r="B117" s="32" t="inlineStr">
        <is>
          <t>Частота отказов прибора</t>
        </is>
      </c>
      <c r="C117" s="33" t="inlineStr">
        <is>
          <t>f_180</t>
        </is>
      </c>
      <c r="D117" s="38" t="inlineStr">
        <is>
          <t>λ · p(t)</t>
        </is>
      </c>
      <c r="E117" s="23">
        <f>D109*E115</f>
        <v/>
      </c>
      <c r="F117" s="35" t="inlineStr">
        <is>
          <t>1/ч</t>
        </is>
      </c>
      <c r="G117" s="36" t="inlineStr">
        <is>
          <t>f(180) = 10⁻⁷ · 0.999982 ≈ 0.0000001 ч⁻¹ (1.00·10⁻⁷ ч⁻¹)</t>
        </is>
      </c>
    </row>
    <row r="118" ht="22" customHeight="1">
      <c r="B118" s="32" t="inlineStr">
        <is>
          <t>Среднее время безотказной работы</t>
        </is>
      </c>
      <c r="C118" s="33" t="inlineStr">
        <is>
          <t>mt</t>
        </is>
      </c>
      <c r="D118" s="38" t="inlineStr">
        <is>
          <t>1 / λ</t>
        </is>
      </c>
      <c r="E118" s="24">
        <f>1/D109</f>
        <v/>
      </c>
      <c r="F118" s="35" t="inlineStr">
        <is>
          <t>ч</t>
        </is>
      </c>
      <c r="G118" s="36" t="inlineStr">
        <is>
          <t>mt = 1 / 10⁻⁷ = 10 000 000 ч (10 млн часов)</t>
        </is>
      </c>
    </row>
    <row r="119" ht="24" customHeight="1">
      <c r="B119" s="39" t="inlineStr">
        <is>
          <t>ВЫВОД / ОТВЕТ: Количественные характеристики прибора: p(180) = 0,999982; q(180) = 0,000018 (1,8·10⁻⁵); f(180) = 1,00·10⁻⁷ 1/ч; средняя наработка mt = 10 000 000 ч (10⁷ ч).</t>
        </is>
      </c>
      <c r="C119" s="40" t="n"/>
      <c r="D119" s="40" t="n"/>
      <c r="E119" s="40" t="n"/>
      <c r="F119" s="40" t="n"/>
      <c r="G119" s="40" t="n"/>
    </row>
    <row r="122" ht="24" customHeight="1">
      <c r="B122" s="42" t="inlineStr">
        <is>
          <t>ЗАДАЧА № 12. Расчет среднего времени безотказной работы системы из пяти приборов</t>
        </is>
      </c>
      <c r="C122" s="2" t="n"/>
      <c r="D122" s="2" t="n"/>
      <c r="E122" s="2" t="n"/>
      <c r="F122" s="2" t="n"/>
      <c r="G122" s="2" t="n"/>
    </row>
    <row r="123" ht="18" customHeight="1">
      <c r="B123" s="28" t="inlineStr">
        <is>
          <t>Условие: Система состоит из пяти приборов, среднее время безотказной работы которых равно: mt1 = 83 ч; mt2 = 220 ч; mt3 = 280 ч; mt4 = 400 ч; mt5 = 700 ч. Для приборов справедлив экспоненциальный закон надежности. Требуется найти среднее время безотказной работы системы mtc.</t>
        </is>
      </c>
      <c r="C123" s="29" t="n"/>
      <c r="D123" s="29" t="n"/>
      <c r="E123" s="29" t="n"/>
      <c r="F123" s="29" t="n"/>
      <c r="G123" s="29" t="n"/>
    </row>
    <row r="124" ht="18" customHeight="1">
      <c r="B124" s="29" t="n"/>
      <c r="C124" s="29" t="n"/>
      <c r="D124" s="29" t="n"/>
      <c r="E124" s="29" t="n"/>
      <c r="F124" s="29" t="n"/>
      <c r="G124" s="29" t="n"/>
    </row>
    <row r="125" ht="20" customHeight="1">
      <c r="B125" s="30" t="inlineStr">
        <is>
          <t>Таблица 1. Исходные параметры надежности приборов системы</t>
        </is>
      </c>
    </row>
    <row r="126" ht="24" customHeight="1">
      <c r="B126" s="43" t="inlineStr">
        <is>
          <t>№ прибора</t>
        </is>
      </c>
      <c r="C126" s="43" t="inlineStr">
        <is>
          <t>Обозначение</t>
        </is>
      </c>
      <c r="D126" s="43" t="inlineStr">
        <is>
          <t>Средняя наработка mti</t>
        </is>
      </c>
      <c r="E126" s="43" t="inlineStr">
        <is>
          <t>Ед. изм.</t>
        </is>
      </c>
      <c r="F126" s="43" t="inlineStr">
        <is>
          <t>Интенсивность отказов λi = 1/mti</t>
        </is>
      </c>
      <c r="G126" s="43" t="inlineStr">
        <is>
          <t>Пояснение</t>
        </is>
      </c>
    </row>
    <row r="127" ht="20" customHeight="1">
      <c r="B127" s="35" t="inlineStr">
        <is>
          <t>Прибор 1</t>
        </is>
      </c>
      <c r="C127" s="33" t="inlineStr">
        <is>
          <t>mt1</t>
        </is>
      </c>
      <c r="D127" s="34" t="n">
        <v>83</v>
      </c>
      <c r="E127" s="35" t="inlineStr">
        <is>
          <t>ч</t>
        </is>
      </c>
      <c r="F127" s="44">
        <f>1/D127</f>
        <v/>
      </c>
      <c r="G127" s="36" t="inlineStr">
        <is>
          <t>Прибор 1 (наименее надежный)</t>
        </is>
      </c>
    </row>
    <row r="128" ht="20" customHeight="1">
      <c r="B128" s="35" t="inlineStr">
        <is>
          <t>Прибор 2</t>
        </is>
      </c>
      <c r="C128" s="33" t="inlineStr">
        <is>
          <t>mt2</t>
        </is>
      </c>
      <c r="D128" s="34" t="n">
        <v>220</v>
      </c>
      <c r="E128" s="35" t="inlineStr">
        <is>
          <t>ч</t>
        </is>
      </c>
      <c r="F128" s="44">
        <f>1/D128</f>
        <v/>
      </c>
      <c r="G128" s="36" t="inlineStr">
        <is>
          <t>Прибор 2</t>
        </is>
      </c>
    </row>
    <row r="129" ht="20" customHeight="1">
      <c r="B129" s="35" t="inlineStr">
        <is>
          <t>Прибор 3</t>
        </is>
      </c>
      <c r="C129" s="33" t="inlineStr">
        <is>
          <t>mt3</t>
        </is>
      </c>
      <c r="D129" s="34" t="n">
        <v>280</v>
      </c>
      <c r="E129" s="35" t="inlineStr">
        <is>
          <t>ч</t>
        </is>
      </c>
      <c r="F129" s="44">
        <f>1/D129</f>
        <v/>
      </c>
      <c r="G129" s="36" t="inlineStr">
        <is>
          <t>Прибор 3</t>
        </is>
      </c>
    </row>
    <row r="130" ht="20" customHeight="1">
      <c r="B130" s="35" t="inlineStr">
        <is>
          <t>Прибор 4</t>
        </is>
      </c>
      <c r="C130" s="33" t="inlineStr">
        <is>
          <t>mt4</t>
        </is>
      </c>
      <c r="D130" s="34" t="n">
        <v>400</v>
      </c>
      <c r="E130" s="35" t="inlineStr">
        <is>
          <t>ч</t>
        </is>
      </c>
      <c r="F130" s="44">
        <f>1/D130</f>
        <v/>
      </c>
      <c r="G130" s="36" t="inlineStr">
        <is>
          <t>Прибор 4</t>
        </is>
      </c>
    </row>
    <row r="131" ht="20" customHeight="1">
      <c r="B131" s="35" t="inlineStr">
        <is>
          <t>Прибор 5</t>
        </is>
      </c>
      <c r="C131" s="33" t="inlineStr">
        <is>
          <t>mt5</t>
        </is>
      </c>
      <c r="D131" s="34" t="n">
        <v>700</v>
      </c>
      <c r="E131" s="35" t="inlineStr">
        <is>
          <t>ч</t>
        </is>
      </c>
      <c r="F131" s="44">
        <f>1/D131</f>
        <v/>
      </c>
      <c r="G131" s="36" t="inlineStr">
        <is>
          <t>Прибор 5 (наиболее надежный)</t>
        </is>
      </c>
    </row>
    <row r="132" ht="22" customHeight="1">
      <c r="B132" s="45" t="inlineStr">
        <is>
          <t>ИТОГО: Суммарная интенсивность отказов системы λc = Σ λi :</t>
        </is>
      </c>
      <c r="C132" s="46" t="n"/>
      <c r="D132" s="46" t="n"/>
      <c r="E132" s="46" t="n"/>
      <c r="F132" s="47">
        <f>SUM(F127:F131)</f>
        <v/>
      </c>
      <c r="G132" s="48" t="inlineStr">
        <is>
          <t>1/ч (λc ≈ 0.024094 ч⁻¹)</t>
        </is>
      </c>
    </row>
    <row r="134" ht="20" customHeight="1">
      <c r="B134" s="30" t="inlineStr">
        <is>
          <t>Таблица 2. Расчет показателей надежности системы</t>
        </is>
      </c>
    </row>
    <row r="135" ht="24" customHeight="1">
      <c r="B135" s="37" t="inlineStr">
        <is>
          <t>Определяемый показатель</t>
        </is>
      </c>
      <c r="C135" s="37" t="inlineStr">
        <is>
          <t>Обозначение</t>
        </is>
      </c>
      <c r="D135" s="37" t="inlineStr">
        <is>
          <t>Математическая формула</t>
        </is>
      </c>
      <c r="E135" s="37" t="inlineStr">
        <is>
          <t>Значение (формула Excel)</t>
        </is>
      </c>
      <c r="F135" s="37" t="inlineStr">
        <is>
          <t>Ед. изм.</t>
        </is>
      </c>
      <c r="G135" s="37" t="inlineStr">
        <is>
          <t>Пояснение к результату</t>
        </is>
      </c>
    </row>
    <row r="136" ht="22" customHeight="1">
      <c r="B136" s="32" t="inlineStr">
        <is>
          <t>Суммарная интенсивность отказов</t>
        </is>
      </c>
      <c r="C136" s="33" t="inlineStr">
        <is>
          <t>lc</t>
        </is>
      </c>
      <c r="D136" s="38">
        <f>F132</f>
        <v/>
      </c>
      <c r="E136" s="11">
        <f>F132</f>
        <v/>
      </c>
      <c r="F136" s="35" t="inlineStr">
        <is>
          <t>1/ч</t>
        </is>
      </c>
      <c r="G136" s="36" t="inlineStr">
        <is>
          <t>λc = 1/83 + 1/220 + 1/280 + 1/400 + 1/700 ≈ 0.024094 ч⁻¹</t>
        </is>
      </c>
    </row>
    <row r="137" ht="22" customHeight="1">
      <c r="B137" s="32" t="inlineStr">
        <is>
          <t>Среднее время безотказной работы системы</t>
        </is>
      </c>
      <c r="C137" s="33" t="inlineStr">
        <is>
          <t>mtc</t>
        </is>
      </c>
      <c r="D137" s="38" t="inlineStr">
        <is>
          <t>1 / λc</t>
        </is>
      </c>
      <c r="E137" s="22">
        <f>1/F132</f>
        <v/>
      </c>
      <c r="F137" s="35" t="inlineStr">
        <is>
          <t>ч</t>
        </is>
      </c>
      <c r="G137" s="36" t="inlineStr">
        <is>
          <t>mtc = 1 / 0.024094 ≈ 41.50 ч</t>
        </is>
      </c>
    </row>
    <row r="138" ht="24" customHeight="1">
      <c r="B138" s="39" t="inlineStr">
        <is>
          <t>ВЫВОД / ОТВЕТ: Интенсивность отказов системы λc = 0,024094 1/ч; среднее время безотказной работы системы mtc = 41,50 ч.</t>
        </is>
      </c>
      <c r="C138" s="40" t="n"/>
      <c r="D138" s="40" t="n"/>
      <c r="E138" s="40" t="n"/>
      <c r="F138" s="40" t="n"/>
      <c r="G138" s="40" t="n"/>
    </row>
  </sheetData>
  <mergeCells count="25">
    <mergeCell ref="B2:G2"/>
    <mergeCell ref="B101:G101"/>
    <mergeCell ref="B123:G124"/>
    <mergeCell ref="B61:G61"/>
    <mergeCell ref="B45:G46"/>
    <mergeCell ref="B119:G119"/>
    <mergeCell ref="B44:G44"/>
    <mergeCell ref="B7:G8"/>
    <mergeCell ref="B25:G26"/>
    <mergeCell ref="B85:G86"/>
    <mergeCell ref="B84:G84"/>
    <mergeCell ref="B64:G64"/>
    <mergeCell ref="B104:G104"/>
    <mergeCell ref="B24:G24"/>
    <mergeCell ref="B6:G6"/>
    <mergeCell ref="B105:G106"/>
    <mergeCell ref="B41:G41"/>
    <mergeCell ref="B4:G4"/>
    <mergeCell ref="B138:G138"/>
    <mergeCell ref="B3:G3"/>
    <mergeCell ref="B81:G81"/>
    <mergeCell ref="B132:E132"/>
    <mergeCell ref="B122:G122"/>
    <mergeCell ref="B65:G66"/>
    <mergeCell ref="B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34" customWidth="1" min="4" max="4"/>
    <col width="24" customWidth="1" min="5" max="5"/>
    <col width="12" customWidth="1" min="6" max="6"/>
    <col width="48" customWidth="1" min="7" max="7"/>
  </cols>
  <sheetData>
    <row r="2" ht="30" customHeight="1">
      <c r="B2" s="1" t="inlineStr">
        <is>
          <t>ТИПОВЫЕ ЗАДАЧИ С РЕШЕНИЕМ ИЗ ПРЕЗЕНТАЦИИ (№ 1 – 5)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Практическая работа № 2. Аналитическое определение количественных характеристик надежности изделия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Полное соответствие слайдам 8–10 презентации лекций</t>
        </is>
      </c>
      <c r="C4" s="4" t="n"/>
      <c r="D4" s="4" t="n"/>
      <c r="E4" s="4" t="n"/>
      <c r="F4" s="4" t="n"/>
      <c r="G4" s="4" t="n"/>
    </row>
    <row r="6" ht="24" customHeight="1">
      <c r="B6" s="27" t="inlineStr">
        <is>
          <t>ЗАДАЧА № 1. Автоматический регулятор (L1 = 640 ч, t = 120 ч)</t>
        </is>
      </c>
      <c r="C6" s="2" t="n"/>
      <c r="D6" s="2" t="n"/>
      <c r="E6" s="2" t="n"/>
      <c r="F6" s="2" t="n"/>
      <c r="G6" s="2" t="n"/>
    </row>
    <row r="7" ht="18" customHeight="1">
      <c r="B7" s="28" t="inlineStr">
        <is>
          <t>Условие: Средняя наработка до отказа L1 автоматического регулятора равна 640 часов. Предполагается, что справедлив экспоненциальный закон надежности. Определить вероятность безотказной работы, частоту отказов и интенсивность отказов за 120 часов работы системы.</t>
        </is>
      </c>
      <c r="C7" s="29" t="n"/>
      <c r="D7" s="29" t="n"/>
      <c r="E7" s="29" t="n"/>
      <c r="F7" s="29" t="n"/>
      <c r="G7" s="29" t="n"/>
    </row>
    <row r="8" ht="18" customHeight="1">
      <c r="B8" s="29" t="n"/>
      <c r="C8" s="29" t="n"/>
      <c r="D8" s="29" t="n"/>
      <c r="E8" s="29" t="n"/>
      <c r="F8" s="29" t="n"/>
      <c r="G8" s="29" t="n"/>
    </row>
    <row r="9" ht="20" customHeight="1">
      <c r="B9" s="30" t="inlineStr">
        <is>
          <t>Таблица 1. Исходные данные задачи</t>
        </is>
      </c>
    </row>
    <row r="10" ht="22" customHeight="1">
      <c r="B10" s="31" t="inlineStr">
        <is>
          <t>Наименование параметра</t>
        </is>
      </c>
      <c r="C10" s="31" t="inlineStr">
        <is>
          <t>Обозначение</t>
        </is>
      </c>
      <c r="D10" s="31" t="inlineStr">
        <is>
          <t>Значение</t>
        </is>
      </c>
      <c r="E10" s="31" t="inlineStr">
        <is>
          <t>Ед. изм.</t>
        </is>
      </c>
      <c r="F10" s="31" t="inlineStr">
        <is>
          <t>Пояснение</t>
        </is>
      </c>
    </row>
    <row r="11" ht="20" customHeight="1">
      <c r="B11" s="32" t="inlineStr">
        <is>
          <t>Средняя наработка до отказа</t>
        </is>
      </c>
      <c r="C11" s="33" t="inlineStr">
        <is>
          <t>L1</t>
        </is>
      </c>
      <c r="D11" s="34" t="n">
        <v>640</v>
      </c>
      <c r="E11" s="35" t="inlineStr">
        <is>
          <t>ч</t>
        </is>
      </c>
      <c r="F11" s="36" t="inlineStr">
        <is>
          <t>L1 = 640 ч</t>
        </is>
      </c>
    </row>
    <row r="12" ht="20" customHeight="1">
      <c r="B12" s="32" t="inlineStr">
        <is>
          <t>Время наработки</t>
        </is>
      </c>
      <c r="C12" s="33" t="inlineStr">
        <is>
          <t>t</t>
        </is>
      </c>
      <c r="D12" s="34" t="n">
        <v>120</v>
      </c>
      <c r="E12" s="35" t="inlineStr">
        <is>
          <t>ч</t>
        </is>
      </c>
      <c r="F12" s="36" t="inlineStr">
        <is>
          <t>Момент времени t = 120 ч</t>
        </is>
      </c>
    </row>
    <row r="14" ht="20" customHeight="1">
      <c r="B14" s="30" t="inlineStr">
        <is>
          <t>Таблица 2. Расчет показателей надежности</t>
        </is>
      </c>
    </row>
    <row r="15" ht="24" customHeight="1">
      <c r="B15" s="37" t="inlineStr">
        <is>
          <t>Определяемый показатель</t>
        </is>
      </c>
      <c r="C15" s="37" t="inlineStr">
        <is>
          <t>Обозначение</t>
        </is>
      </c>
      <c r="D15" s="37" t="inlineStr">
        <is>
          <t>Математическая формула</t>
        </is>
      </c>
      <c r="E15" s="37" t="inlineStr">
        <is>
          <t>Значение (формула Excel)</t>
        </is>
      </c>
      <c r="F15" s="37" t="inlineStr">
        <is>
          <t>Ед. изм.</t>
        </is>
      </c>
      <c r="G15" s="37" t="inlineStr">
        <is>
          <t>Пояснение к результату</t>
        </is>
      </c>
    </row>
    <row r="16" ht="22" customHeight="1">
      <c r="B16" s="32" t="inlineStr">
        <is>
          <t>Интенсивность отказов</t>
        </is>
      </c>
      <c r="C16" s="33" t="inlineStr">
        <is>
          <t>l_120</t>
        </is>
      </c>
      <c r="D16" s="38" t="inlineStr">
        <is>
          <t>1 / L1</t>
        </is>
      </c>
      <c r="E16" s="11">
        <f>1/D11</f>
        <v/>
      </c>
      <c r="F16" s="35" t="inlineStr">
        <is>
          <t>1/ч</t>
        </is>
      </c>
      <c r="G16" s="36" t="inlineStr">
        <is>
          <t>λ = const = 1 / 640 ≈ 0.001563 ч⁻¹ (1.56·10⁻³ ч⁻¹)</t>
        </is>
      </c>
    </row>
    <row r="17" ht="22" customHeight="1">
      <c r="B17" s="32" t="inlineStr">
        <is>
          <t>Показатель экспоненты (λ · t)</t>
        </is>
      </c>
      <c r="C17" s="33" t="inlineStr">
        <is>
          <t>lt</t>
        </is>
      </c>
      <c r="D17" s="38" t="inlineStr">
        <is>
          <t>λ · t</t>
        </is>
      </c>
      <c r="E17" s="18">
        <f>E16*D12</f>
        <v/>
      </c>
      <c r="F17" s="35" t="inlineStr">
        <is>
          <t>—</t>
        </is>
      </c>
      <c r="G17" s="36" t="inlineStr">
        <is>
          <t>λ · t = 120 / 640 = 0.1875</t>
        </is>
      </c>
    </row>
    <row r="18" ht="22" customHeight="1">
      <c r="B18" s="32" t="inlineStr">
        <is>
          <t>Вероятность безотказной работы</t>
        </is>
      </c>
      <c r="C18" s="33" t="inlineStr">
        <is>
          <t>P_120</t>
        </is>
      </c>
      <c r="D18" s="38" t="inlineStr">
        <is>
          <t>EXP(-λ · t)</t>
        </is>
      </c>
      <c r="E18" s="18">
        <f>EXP(-E17)</f>
        <v/>
      </c>
      <c r="F18" s="35" t="inlineStr">
        <is>
          <t>—</t>
        </is>
      </c>
      <c r="G18" s="36" t="inlineStr">
        <is>
          <t>P(120) = exp(-0.1875) ≈ 0.8290 (в слайде округлено до 0.83)</t>
        </is>
      </c>
    </row>
    <row r="19" ht="22" customHeight="1">
      <c r="B19" s="32" t="inlineStr">
        <is>
          <t>Частота отказов регулятора</t>
        </is>
      </c>
      <c r="C19" s="33" t="inlineStr">
        <is>
          <t>f_120</t>
        </is>
      </c>
      <c r="D19" s="38" t="inlineStr">
        <is>
          <t>λ · P(t)</t>
        </is>
      </c>
      <c r="E19" s="11">
        <f>E16*E18</f>
        <v/>
      </c>
      <c r="F19" s="35" t="inlineStr">
        <is>
          <t>1/ч</t>
        </is>
      </c>
      <c r="G19" s="36" t="inlineStr">
        <is>
          <t>f(120) = 0.001563 · 0.8290 ≈ 0.001295 ч⁻¹ (1.29·10⁻³ ч⁻¹)</t>
        </is>
      </c>
    </row>
    <row r="20" ht="24" customHeight="1">
      <c r="B20" s="39" t="inlineStr">
        <is>
          <t>ВЫВОД / ОТВЕТ: При t = 120 ч: интенсивность отказов λ = 1,56·10⁻³ 1/ч; вероятность безотказной работы P(120) = 0,8290 ≈ 0,83; частота отказов f(120) = 1,29·10⁻³ 1/ч (полное совпадение со слайдом 8).</t>
        </is>
      </c>
      <c r="C20" s="40" t="n"/>
      <c r="D20" s="40" t="n"/>
      <c r="E20" s="40" t="n"/>
      <c r="F20" s="40" t="n"/>
      <c r="G20" s="40" t="n"/>
    </row>
    <row r="23" ht="24" customHeight="1">
      <c r="B23" s="27" t="inlineStr">
        <is>
          <t>ЗАДАЧА № 2. Надежность системы из 1000 и 100 элементов при P(t) = 0,99</t>
        </is>
      </c>
      <c r="C23" s="2" t="n"/>
      <c r="D23" s="2" t="n"/>
      <c r="E23" s="2" t="n"/>
      <c r="F23" s="2" t="n"/>
      <c r="G23" s="2" t="n"/>
    </row>
    <row r="24" ht="18" customHeight="1">
      <c r="B24" s="28" t="inlineStr">
        <is>
          <t>Условие: Система состоит из 1000 элементов с высокой вероятностью безотказной работы P(t) = 0,99. Определить надежность всей системы. Определить надежность этой системы, если число элементов – 100?</t>
        </is>
      </c>
      <c r="C24" s="29" t="n"/>
      <c r="D24" s="29" t="n"/>
      <c r="E24" s="29" t="n"/>
      <c r="F24" s="29" t="n"/>
      <c r="G24" s="29" t="n"/>
    </row>
    <row r="25" ht="18" customHeight="1">
      <c r="B25" s="29" t="n"/>
      <c r="C25" s="29" t="n"/>
      <c r="D25" s="29" t="n"/>
      <c r="E25" s="29" t="n"/>
      <c r="F25" s="29" t="n"/>
      <c r="G25" s="29" t="n"/>
    </row>
    <row r="26" ht="20" customHeight="1">
      <c r="B26" s="30" t="inlineStr">
        <is>
          <t>Таблица 1. Исходные данные задачи</t>
        </is>
      </c>
    </row>
    <row r="27" ht="22" customHeight="1">
      <c r="B27" s="31" t="inlineStr">
        <is>
          <t>Наименование параметра</t>
        </is>
      </c>
      <c r="C27" s="31" t="inlineStr">
        <is>
          <t>Обозначение</t>
        </is>
      </c>
      <c r="D27" s="31" t="inlineStr">
        <is>
          <t>Значение</t>
        </is>
      </c>
      <c r="E27" s="31" t="inlineStr">
        <is>
          <t>Ед. изм.</t>
        </is>
      </c>
      <c r="F27" s="31" t="inlineStr">
        <is>
          <t>Пояснение</t>
        </is>
      </c>
    </row>
    <row r="28" ht="20" customHeight="1">
      <c r="B28" s="32" t="inlineStr">
        <is>
          <t>Вероятность безотказной работы элемента</t>
        </is>
      </c>
      <c r="C28" s="33" t="inlineStr">
        <is>
          <t>P_el</t>
        </is>
      </c>
      <c r="D28" s="49" t="n">
        <v>0.99</v>
      </c>
      <c r="E28" s="35" t="inlineStr">
        <is>
          <t>—</t>
        </is>
      </c>
      <c r="F28" s="36" t="inlineStr">
        <is>
          <t>P(t) = 0.99 для каждого элемента</t>
        </is>
      </c>
    </row>
    <row r="29" ht="20" customHeight="1">
      <c r="B29" s="32" t="inlineStr">
        <is>
          <t>Число элементов в первой конфигурации</t>
        </is>
      </c>
      <c r="C29" s="33" t="inlineStr">
        <is>
          <t>N1</t>
        </is>
      </c>
      <c r="D29" s="34" t="n">
        <v>1000</v>
      </c>
      <c r="E29" s="35" t="inlineStr">
        <is>
          <t>шт.</t>
        </is>
      </c>
      <c r="F29" s="36" t="inlineStr">
        <is>
          <t>N1 = 1000 элементов</t>
        </is>
      </c>
    </row>
    <row r="30" ht="20" customHeight="1">
      <c r="B30" s="32" t="inlineStr">
        <is>
          <t>Число элементов во второй конфигурации</t>
        </is>
      </c>
      <c r="C30" s="33" t="inlineStr">
        <is>
          <t>N2</t>
        </is>
      </c>
      <c r="D30" s="34" t="n">
        <v>100</v>
      </c>
      <c r="E30" s="35" t="inlineStr">
        <is>
          <t>шт.</t>
        </is>
      </c>
      <c r="F30" s="36" t="inlineStr">
        <is>
          <t>N2 = 100 элементов</t>
        </is>
      </c>
    </row>
    <row r="32" ht="20" customHeight="1">
      <c r="B32" s="30" t="inlineStr">
        <is>
          <t>Таблица 2. Расчет показателей надежности</t>
        </is>
      </c>
    </row>
    <row r="33" ht="24" customHeight="1">
      <c r="B33" s="37" t="inlineStr">
        <is>
          <t>Определяемый показатель</t>
        </is>
      </c>
      <c r="C33" s="37" t="inlineStr">
        <is>
          <t>Обозначение</t>
        </is>
      </c>
      <c r="D33" s="37" t="inlineStr">
        <is>
          <t>Математическая формула</t>
        </is>
      </c>
      <c r="E33" s="37" t="inlineStr">
        <is>
          <t>Значение (формула Excel)</t>
        </is>
      </c>
      <c r="F33" s="37" t="inlineStr">
        <is>
          <t>Ед. изм.</t>
        </is>
      </c>
      <c r="G33" s="37" t="inlineStr">
        <is>
          <t>Пояснение к результату</t>
        </is>
      </c>
    </row>
    <row r="34" ht="22" customHeight="1">
      <c r="B34" s="32" t="inlineStr">
        <is>
          <t>Надежность системы при N = 1000</t>
        </is>
      </c>
      <c r="C34" s="33" t="inlineStr">
        <is>
          <t>Pc_1000</t>
        </is>
      </c>
      <c r="D34" s="38" t="inlineStr">
        <is>
          <t>P_el ^ N1</t>
        </is>
      </c>
      <c r="E34" s="11">
        <f>D28^D29</f>
        <v/>
      </c>
      <c r="F34" s="35" t="inlineStr">
        <is>
          <t>—</t>
        </is>
      </c>
      <c r="G34" s="36" t="inlineStr">
        <is>
          <t>Pc = 0.99¹⁰⁰⁰ ≈ 0.00004317 (0.432·10⁻⁴ по слайду)</t>
        </is>
      </c>
    </row>
    <row r="35" ht="22" customHeight="1">
      <c r="B35" s="32" t="inlineStr">
        <is>
          <t>Надежность системы при N = 100</t>
        </is>
      </c>
      <c r="C35" s="33" t="inlineStr">
        <is>
          <t>Pc_100</t>
        </is>
      </c>
      <c r="D35" s="38" t="inlineStr">
        <is>
          <t>P_el ^ N2</t>
        </is>
      </c>
      <c r="E35" s="18">
        <f>D28^D30</f>
        <v/>
      </c>
      <c r="F35" s="35" t="inlineStr">
        <is>
          <t>—</t>
        </is>
      </c>
      <c r="G35" s="36" t="inlineStr">
        <is>
          <t>Pc = 0.99¹⁰⁰ ≈ 0.36603 (0.366 по слайду)</t>
        </is>
      </c>
    </row>
    <row r="36" ht="24" customHeight="1">
      <c r="B36" s="39" t="inlineStr">
        <is>
          <t>ВЫВОД / ОТВЕТ: При N = 1000 элементов: Pc(t) = 0,432·10⁻⁴ (система крайне ненадежна из-за большого числа элементов); при N = 100 элементов: Pc(t) = 0,366 (36,6%). Полное совпадение со слайдом 8.</t>
        </is>
      </c>
      <c r="C36" s="40" t="n"/>
      <c r="D36" s="40" t="n"/>
      <c r="E36" s="40" t="n"/>
      <c r="F36" s="40" t="n"/>
      <c r="G36" s="40" t="n"/>
    </row>
    <row r="39" ht="24" customHeight="1">
      <c r="B39" s="27" t="inlineStr">
        <is>
          <t>ЗАДАЧА № 3. Система управления из 6000 элементов (T = 50 ч)</t>
        </is>
      </c>
      <c r="C39" s="2" t="n"/>
      <c r="D39" s="2" t="n"/>
      <c r="E39" s="2" t="n"/>
      <c r="F39" s="2" t="n"/>
      <c r="G39" s="2" t="n"/>
    </row>
    <row r="40" ht="18" customHeight="1">
      <c r="B40" s="28" t="inlineStr">
        <is>
          <t>Условие: Система управления состоит из 6000 элементов, соединенных последовательно, средняя интенсивность отказов которых λср(t) = 0,2∙10⁻⁶ ч⁻¹. Необходимо определить вероятность безотказной работы Pc(t) в течение Т = 50 ч и среднее время безотказной работы системы mtc.</t>
        </is>
      </c>
      <c r="C40" s="29" t="n"/>
      <c r="D40" s="29" t="n"/>
      <c r="E40" s="29" t="n"/>
      <c r="F40" s="29" t="n"/>
      <c r="G40" s="29" t="n"/>
    </row>
    <row r="41" ht="18" customHeight="1">
      <c r="B41" s="29" t="n"/>
      <c r="C41" s="29" t="n"/>
      <c r="D41" s="29" t="n"/>
      <c r="E41" s="29" t="n"/>
      <c r="F41" s="29" t="n"/>
      <c r="G41" s="29" t="n"/>
    </row>
    <row r="42" ht="20" customHeight="1">
      <c r="B42" s="30" t="inlineStr">
        <is>
          <t>Таблица 1. Исходные данные задачи</t>
        </is>
      </c>
    </row>
    <row r="43" ht="22" customHeight="1">
      <c r="B43" s="31" t="inlineStr">
        <is>
          <t>Наименование параметра</t>
        </is>
      </c>
      <c r="C43" s="31" t="inlineStr">
        <is>
          <t>Обозначение</t>
        </is>
      </c>
      <c r="D43" s="31" t="inlineStr">
        <is>
          <t>Значение</t>
        </is>
      </c>
      <c r="E43" s="31" t="inlineStr">
        <is>
          <t>Ед. изм.</t>
        </is>
      </c>
      <c r="F43" s="31" t="inlineStr">
        <is>
          <t>Пояснение</t>
        </is>
      </c>
    </row>
    <row r="44" ht="20" customHeight="1">
      <c r="B44" s="32" t="inlineStr">
        <is>
          <t>Число элементов</t>
        </is>
      </c>
      <c r="C44" s="33" t="inlineStr">
        <is>
          <t>n</t>
        </is>
      </c>
      <c r="D44" s="34" t="n">
        <v>6000</v>
      </c>
      <c r="E44" s="35" t="inlineStr">
        <is>
          <t>шт.</t>
        </is>
      </c>
      <c r="F44" s="36" t="inlineStr">
        <is>
          <t>Последовательное соединение</t>
        </is>
      </c>
    </row>
    <row r="45" ht="20" customHeight="1">
      <c r="B45" s="32" t="inlineStr">
        <is>
          <t>Интенсивность отказов элемента</t>
        </is>
      </c>
      <c r="C45" s="33" t="inlineStr">
        <is>
          <t>l_elem</t>
        </is>
      </c>
      <c r="D45" s="41" t="n">
        <v>2e-07</v>
      </c>
      <c r="E45" s="35" t="inlineStr">
        <is>
          <t>1/ч</t>
        </is>
      </c>
      <c r="F45" s="36" t="inlineStr">
        <is>
          <t>λср = 0.2·10⁻⁶ ч⁻¹</t>
        </is>
      </c>
    </row>
    <row r="46" ht="20" customHeight="1">
      <c r="B46" s="32" t="inlineStr">
        <is>
          <t>Время работы</t>
        </is>
      </c>
      <c r="C46" s="33" t="inlineStr">
        <is>
          <t>T</t>
        </is>
      </c>
      <c r="D46" s="34" t="n">
        <v>50</v>
      </c>
      <c r="E46" s="35" t="inlineStr">
        <is>
          <t>ч</t>
        </is>
      </c>
      <c r="F46" s="36" t="inlineStr">
        <is>
          <t>T = 50 ч</t>
        </is>
      </c>
    </row>
    <row r="48" ht="20" customHeight="1">
      <c r="B48" s="30" t="inlineStr">
        <is>
          <t>Таблица 2. Расчет показателей надежности</t>
        </is>
      </c>
    </row>
    <row r="49" ht="24" customHeight="1">
      <c r="B49" s="37" t="inlineStr">
        <is>
          <t>Определяемый показатель</t>
        </is>
      </c>
      <c r="C49" s="37" t="inlineStr">
        <is>
          <t>Обозначение</t>
        </is>
      </c>
      <c r="D49" s="37" t="inlineStr">
        <is>
          <t>Математическая формула</t>
        </is>
      </c>
      <c r="E49" s="37" t="inlineStr">
        <is>
          <t>Значение (формула Excel)</t>
        </is>
      </c>
      <c r="F49" s="37" t="inlineStr">
        <is>
          <t>Ед. изм.</t>
        </is>
      </c>
      <c r="G49" s="37" t="inlineStr">
        <is>
          <t>Пояснение к результату</t>
        </is>
      </c>
    </row>
    <row r="50" ht="22" customHeight="1">
      <c r="B50" s="32" t="inlineStr">
        <is>
          <t>Интенсивность отказов системы</t>
        </is>
      </c>
      <c r="C50" s="33" t="inlineStr">
        <is>
          <t>lc</t>
        </is>
      </c>
      <c r="D50" s="38" t="inlineStr">
        <is>
          <t>n · λср</t>
        </is>
      </c>
      <c r="E50" s="11">
        <f>D44*D45</f>
        <v/>
      </c>
      <c r="F50" s="35" t="inlineStr">
        <is>
          <t>1/ч</t>
        </is>
      </c>
      <c r="G50" s="36" t="inlineStr">
        <is>
          <t>λc = 6000 · 0.2·10⁻⁶ = 0.0012 ч⁻¹ (1.2·10⁻³ ч⁻¹)</t>
        </is>
      </c>
    </row>
    <row r="51" ht="22" customHeight="1">
      <c r="B51" s="32" t="inlineStr">
        <is>
          <t>Показатель экспоненты (λc · T)</t>
        </is>
      </c>
      <c r="C51" s="33" t="inlineStr">
        <is>
          <t>lcT</t>
        </is>
      </c>
      <c r="D51" s="38" t="inlineStr">
        <is>
          <t>λc · T</t>
        </is>
      </c>
      <c r="E51" s="18">
        <f>E50*D46</f>
        <v/>
      </c>
      <c r="F51" s="35" t="inlineStr">
        <is>
          <t>—</t>
        </is>
      </c>
      <c r="G51" s="36" t="inlineStr">
        <is>
          <t>λc · T = 0.0012 · 50 = 0.0600 (на слайде опечатка 0.006)</t>
        </is>
      </c>
    </row>
    <row r="52" ht="22" customHeight="1">
      <c r="B52" s="32" t="inlineStr">
        <is>
          <t>Точная вероятность безотказной работы</t>
        </is>
      </c>
      <c r="C52" s="33" t="inlineStr">
        <is>
          <t>Pc_50</t>
        </is>
      </c>
      <c r="D52" s="38" t="inlineStr">
        <is>
          <t>EXP(-λc · T)</t>
        </is>
      </c>
      <c r="E52" s="18">
        <f>EXP(-E51)</f>
        <v/>
      </c>
      <c r="F52" s="35" t="inlineStr">
        <is>
          <t>—</t>
        </is>
      </c>
      <c r="G52" s="36" t="inlineStr">
        <is>
          <t>Pc(50) = exp(-0.06) ≈ 0.9418 (94.18%)</t>
        </is>
      </c>
    </row>
    <row r="53" ht="22" customHeight="1">
      <c r="B53" s="32" t="inlineStr">
        <is>
          <t>Значение по тексту слайда (с опечаткой)</t>
        </is>
      </c>
      <c r="C53" s="33" t="inlineStr">
        <is>
          <t>Pc_slide</t>
        </is>
      </c>
      <c r="D53" s="38" t="inlineStr">
        <is>
          <t>EXP(-0.006)</t>
        </is>
      </c>
      <c r="E53" s="18">
        <f>EXP(-0.006)</f>
        <v/>
      </c>
      <c r="F53" s="35" t="inlineStr">
        <is>
          <t>—</t>
        </is>
      </c>
      <c r="G53" s="36" t="inlineStr">
        <is>
          <t>В слайде 9 ошибочно записано e^(-0.006) = 0.994</t>
        </is>
      </c>
    </row>
    <row r="54" ht="22" customHeight="1">
      <c r="B54" s="32" t="inlineStr">
        <is>
          <t>Среднее время безотказной работы системы</t>
        </is>
      </c>
      <c r="C54" s="33" t="inlineStr">
        <is>
          <t>mtc</t>
        </is>
      </c>
      <c r="D54" s="38" t="inlineStr">
        <is>
          <t>1 / λc</t>
        </is>
      </c>
      <c r="E54" s="22">
        <f>1/E50</f>
        <v/>
      </c>
      <c r="F54" s="35" t="inlineStr">
        <is>
          <t>ч</t>
        </is>
      </c>
      <c r="G54" s="36" t="inlineStr">
        <is>
          <t>mtc = 1 / 0.0012 = 833.33 ч (по слайду 833.3 ч)</t>
        </is>
      </c>
    </row>
    <row r="55" ht="24" customHeight="1">
      <c r="B55" s="39" t="inlineStr">
        <is>
          <t>ВЫВОД / ОТВЕТ: Результаты: интенсивность отказов λc = 1,2·10⁻³ ч⁻¹; средняя наработка mtc = 833,33 ч; точная вероятность Pc(50) = 0,9418 (в формуле слайда 9 опечатка в степени, приведшая к 0,994).</t>
        </is>
      </c>
      <c r="C55" s="40" t="n"/>
      <c r="D55" s="40" t="n"/>
      <c r="E55" s="40" t="n"/>
      <c r="F55" s="40" t="n"/>
      <c r="G55" s="40" t="n"/>
    </row>
    <row r="58" ht="24" customHeight="1">
      <c r="B58" s="27" t="inlineStr">
        <is>
          <t>ЗАДАЧА № 4. Система из 11000 элементов (t = 80 ч)</t>
        </is>
      </c>
      <c r="C58" s="2" t="n"/>
      <c r="D58" s="2" t="n"/>
      <c r="E58" s="2" t="n"/>
      <c r="F58" s="2" t="n"/>
      <c r="G58" s="2" t="n"/>
    </row>
    <row r="59" ht="18" customHeight="1">
      <c r="B59" s="28" t="inlineStr">
        <is>
          <t>Условие: Система состоит из 11000 элементов, средняя интенсивность отказов которых λср = 0,12∙10⁻⁶ ч⁻¹. Требуется определить Pc(t), qc(t), fc(t), mtc для t = 80 ч.</t>
        </is>
      </c>
      <c r="C59" s="29" t="n"/>
      <c r="D59" s="29" t="n"/>
      <c r="E59" s="29" t="n"/>
      <c r="F59" s="29" t="n"/>
      <c r="G59" s="29" t="n"/>
    </row>
    <row r="60" ht="18" customHeight="1">
      <c r="B60" s="29" t="n"/>
      <c r="C60" s="29" t="n"/>
      <c r="D60" s="29" t="n"/>
      <c r="E60" s="29" t="n"/>
      <c r="F60" s="29" t="n"/>
      <c r="G60" s="29" t="n"/>
    </row>
    <row r="61" ht="20" customHeight="1">
      <c r="B61" s="30" t="inlineStr">
        <is>
          <t>Таблица 1. Исходные данные задачи</t>
        </is>
      </c>
    </row>
    <row r="62" ht="22" customHeight="1">
      <c r="B62" s="31" t="inlineStr">
        <is>
          <t>Наименование параметра</t>
        </is>
      </c>
      <c r="C62" s="31" t="inlineStr">
        <is>
          <t>Обозначение</t>
        </is>
      </c>
      <c r="D62" s="31" t="inlineStr">
        <is>
          <t>Значение</t>
        </is>
      </c>
      <c r="E62" s="31" t="inlineStr">
        <is>
          <t>Ед. изм.</t>
        </is>
      </c>
      <c r="F62" s="31" t="inlineStr">
        <is>
          <t>Пояснение</t>
        </is>
      </c>
    </row>
    <row r="63" ht="20" customHeight="1">
      <c r="B63" s="32" t="inlineStr">
        <is>
          <t>Число элементов</t>
        </is>
      </c>
      <c r="C63" s="33" t="inlineStr">
        <is>
          <t>n</t>
        </is>
      </c>
      <c r="D63" s="34" t="n">
        <v>11000</v>
      </c>
      <c r="E63" s="35" t="inlineStr">
        <is>
          <t>шт.</t>
        </is>
      </c>
      <c r="F63" s="36" t="inlineStr">
        <is>
          <t>Количество элементов системы</t>
        </is>
      </c>
    </row>
    <row r="64" ht="20" customHeight="1">
      <c r="B64" s="32" t="inlineStr">
        <is>
          <t>Интенсивность отказов элемента</t>
        </is>
      </c>
      <c r="C64" s="33" t="inlineStr">
        <is>
          <t>l_elem</t>
        </is>
      </c>
      <c r="D64" s="41" t="n">
        <v>1.2e-07</v>
      </c>
      <c r="E64" s="35" t="inlineStr">
        <is>
          <t>1/ч</t>
        </is>
      </c>
      <c r="F64" s="36" t="inlineStr">
        <is>
          <t>λср = 0.12·10⁻⁶ ч⁻¹</t>
        </is>
      </c>
    </row>
    <row r="65" ht="20" customHeight="1">
      <c r="B65" s="32" t="inlineStr">
        <is>
          <t>Время наработки</t>
        </is>
      </c>
      <c r="C65" s="33" t="inlineStr">
        <is>
          <t>t</t>
        </is>
      </c>
      <c r="D65" s="34" t="n">
        <v>80</v>
      </c>
      <c r="E65" s="35" t="inlineStr">
        <is>
          <t>ч</t>
        </is>
      </c>
      <c r="F65" s="36" t="inlineStr">
        <is>
          <t>Контрольная точка t = 80 ч</t>
        </is>
      </c>
    </row>
    <row r="67" ht="20" customHeight="1">
      <c r="B67" s="30" t="inlineStr">
        <is>
          <t>Таблица 2. Расчет показателей надежности</t>
        </is>
      </c>
    </row>
    <row r="68" ht="24" customHeight="1">
      <c r="B68" s="37" t="inlineStr">
        <is>
          <t>Определяемый показатель</t>
        </is>
      </c>
      <c r="C68" s="37" t="inlineStr">
        <is>
          <t>Обозначение</t>
        </is>
      </c>
      <c r="D68" s="37" t="inlineStr">
        <is>
          <t>Математическая формула</t>
        </is>
      </c>
      <c r="E68" s="37" t="inlineStr">
        <is>
          <t>Значение (формула Excel)</t>
        </is>
      </c>
      <c r="F68" s="37" t="inlineStr">
        <is>
          <t>Ед. изм.</t>
        </is>
      </c>
      <c r="G68" s="37" t="inlineStr">
        <is>
          <t>Пояснение к результату</t>
        </is>
      </c>
    </row>
    <row r="69" ht="22" customHeight="1">
      <c r="B69" s="32" t="inlineStr">
        <is>
          <t>Интенсивность отказов системы</t>
        </is>
      </c>
      <c r="C69" s="33" t="inlineStr">
        <is>
          <t>lc</t>
        </is>
      </c>
      <c r="D69" s="38" t="inlineStr">
        <is>
          <t>n · λср</t>
        </is>
      </c>
      <c r="E69" s="11">
        <f>D63*D64</f>
        <v/>
      </c>
      <c r="F69" s="35" t="inlineStr">
        <is>
          <t>1/ч</t>
        </is>
      </c>
      <c r="G69" s="36" t="inlineStr">
        <is>
          <t>λc = 11000 · 0.12·10⁻⁶ = 0.00132 ч⁻¹ (1.32·10⁻³ ч⁻¹)</t>
        </is>
      </c>
    </row>
    <row r="70" ht="22" customHeight="1">
      <c r="B70" s="32" t="inlineStr">
        <is>
          <t>Показатель степени (λc · t)</t>
        </is>
      </c>
      <c r="C70" s="33" t="inlineStr">
        <is>
          <t>lct</t>
        </is>
      </c>
      <c r="D70" s="38" t="inlineStr">
        <is>
          <t>λc · t</t>
        </is>
      </c>
      <c r="E70" s="18">
        <f>E69*D65</f>
        <v/>
      </c>
      <c r="F70" s="35" t="inlineStr">
        <is>
          <t>—</t>
        </is>
      </c>
      <c r="G70" s="36" t="inlineStr">
        <is>
          <t>λc · t = 0.00132 · 80 = 0.1056</t>
        </is>
      </c>
    </row>
    <row r="71" ht="22" customHeight="1">
      <c r="B71" s="32" t="inlineStr">
        <is>
          <t>Вероятность безотказной работы (точная)</t>
        </is>
      </c>
      <c r="C71" s="33" t="inlineStr">
        <is>
          <t>Pc_80</t>
        </is>
      </c>
      <c r="D71" s="38" t="inlineStr">
        <is>
          <t>EXP(-λc · t)</t>
        </is>
      </c>
      <c r="E71" s="18">
        <f>EXP(-E70)</f>
        <v/>
      </c>
      <c r="F71" s="35" t="inlineStr">
        <is>
          <t>—</t>
        </is>
      </c>
      <c r="G71" s="36" t="inlineStr">
        <is>
          <t>Pc(80) = exp(-0.1056) ≈ 0.8998 (на слайде указано ≈ 0.82)</t>
        </is>
      </c>
    </row>
    <row r="72" ht="22" customHeight="1">
      <c r="B72" s="32" t="inlineStr">
        <is>
          <t>Вероятность отказа (точная)</t>
        </is>
      </c>
      <c r="C72" s="33" t="inlineStr">
        <is>
          <t>qc_80</t>
        </is>
      </c>
      <c r="D72" s="38" t="inlineStr">
        <is>
          <t>1 - Pc(t)</t>
        </is>
      </c>
      <c r="E72" s="18">
        <f>1-E71</f>
        <v/>
      </c>
      <c r="F72" s="35" t="inlineStr">
        <is>
          <t>—</t>
        </is>
      </c>
      <c r="G72" s="36" t="inlineStr">
        <is>
          <t>qc(80) = 1 - 0.8998 ≈ 0.1002 (на слайде ≈ 0.18)</t>
        </is>
      </c>
    </row>
    <row r="73" ht="22" customHeight="1">
      <c r="B73" s="32" t="inlineStr">
        <is>
          <t>Частота отказов (точная)</t>
        </is>
      </c>
      <c r="C73" s="33" t="inlineStr">
        <is>
          <t>fc_80</t>
        </is>
      </c>
      <c r="D73" s="38" t="inlineStr">
        <is>
          <t>λc · Pc(t)</t>
        </is>
      </c>
      <c r="E73" s="11">
        <f>E69*E71</f>
        <v/>
      </c>
      <c r="F73" s="35" t="inlineStr">
        <is>
          <t>1/ч</t>
        </is>
      </c>
      <c r="G73" s="36" t="inlineStr">
        <is>
          <t>fc(80) = 0.00132 · 0.8998 ≈ 0.001188 ч⁻¹</t>
        </is>
      </c>
    </row>
    <row r="74" ht="22" customHeight="1">
      <c r="B74" s="32" t="inlineStr">
        <is>
          <t>Среднее время безотказной работы системы</t>
        </is>
      </c>
      <c r="C74" s="33" t="inlineStr">
        <is>
          <t>mtc</t>
        </is>
      </c>
      <c r="D74" s="38" t="inlineStr">
        <is>
          <t>1 / λc</t>
        </is>
      </c>
      <c r="E74" s="22">
        <f>1/E69</f>
        <v/>
      </c>
      <c r="F74" s="35" t="inlineStr">
        <is>
          <t>ч</t>
        </is>
      </c>
      <c r="G74" s="36" t="inlineStr">
        <is>
          <t>mtc = 1 / 0.00132 ≈ 757.58 ч (на слайде ≈ 758 ч)</t>
        </is>
      </c>
    </row>
    <row r="75" ht="24" customHeight="1">
      <c r="B75" s="39" t="inlineStr">
        <is>
          <t>ВЫВОД / ОТВЕТ: Результаты: интенсивность отказов λc = 1,32·10⁻³ ч⁻¹; средняя наработка mtc = 757,58 ч ≈ 758 ч; точная Pc(80) = 0,8998; qc(80) = 0,1002; fc(80) = 1,19·10⁻³ ч⁻¹.</t>
        </is>
      </c>
      <c r="C75" s="40" t="n"/>
      <c r="D75" s="40" t="n"/>
      <c r="E75" s="40" t="n"/>
      <c r="F75" s="40" t="n"/>
      <c r="G75" s="40" t="n"/>
    </row>
    <row r="78" ht="24" customHeight="1">
      <c r="B78" s="27" t="inlineStr">
        <is>
          <t>ЗАДАЧА № 5. Расчет характеристик элемента при λ = 2,5∙10⁻⁵ ч⁻¹ (t = 1000 ч)</t>
        </is>
      </c>
      <c r="C78" s="2" t="n"/>
      <c r="D78" s="2" t="n"/>
      <c r="E78" s="2" t="n"/>
      <c r="F78" s="2" t="n"/>
      <c r="G78" s="2" t="n"/>
    </row>
    <row r="79" ht="18" customHeight="1">
      <c r="B79" s="28" t="inlineStr">
        <is>
          <t>Условие: Время работы элемента до отказа подчинено экспоненциальному закону распределения с параметром λ = 2,5∙10⁻⁵ ч⁻¹. Требуется вычислить количественные характеристики надежности элемента: p(t), q(t), f(t), mt для t = 1000 ч.</t>
        </is>
      </c>
      <c r="C79" s="29" t="n"/>
      <c r="D79" s="29" t="n"/>
      <c r="E79" s="29" t="n"/>
      <c r="F79" s="29" t="n"/>
      <c r="G79" s="29" t="n"/>
    </row>
    <row r="80" ht="18" customHeight="1">
      <c r="B80" s="29" t="n"/>
      <c r="C80" s="29" t="n"/>
      <c r="D80" s="29" t="n"/>
      <c r="E80" s="29" t="n"/>
      <c r="F80" s="29" t="n"/>
      <c r="G80" s="29" t="n"/>
    </row>
    <row r="81" ht="20" customHeight="1">
      <c r="B81" s="30" t="inlineStr">
        <is>
          <t>Таблица 1. Исходные данные задачи</t>
        </is>
      </c>
    </row>
    <row r="82" ht="22" customHeight="1">
      <c r="B82" s="31" t="inlineStr">
        <is>
          <t>Наименование параметра</t>
        </is>
      </c>
      <c r="C82" s="31" t="inlineStr">
        <is>
          <t>Обозначение</t>
        </is>
      </c>
      <c r="D82" s="31" t="inlineStr">
        <is>
          <t>Значение</t>
        </is>
      </c>
      <c r="E82" s="31" t="inlineStr">
        <is>
          <t>Ед. изм.</t>
        </is>
      </c>
      <c r="F82" s="31" t="inlineStr">
        <is>
          <t>Пояснение</t>
        </is>
      </c>
    </row>
    <row r="83" ht="20" customHeight="1">
      <c r="B83" s="32" t="inlineStr">
        <is>
          <t>Интенсивность отказов элемента</t>
        </is>
      </c>
      <c r="C83" s="33" t="inlineStr">
        <is>
          <t>l_val</t>
        </is>
      </c>
      <c r="D83" s="41" t="n">
        <v>2.5e-05</v>
      </c>
      <c r="E83" s="35" t="inlineStr">
        <is>
          <t>1/ч</t>
        </is>
      </c>
      <c r="F83" s="36" t="inlineStr">
        <is>
          <t>λ = 2.5·10⁻⁵ ч⁻¹</t>
        </is>
      </c>
    </row>
    <row r="84" ht="20" customHeight="1">
      <c r="B84" s="32" t="inlineStr">
        <is>
          <t>Время наработки</t>
        </is>
      </c>
      <c r="C84" s="33" t="inlineStr">
        <is>
          <t>t</t>
        </is>
      </c>
      <c r="D84" s="34" t="n">
        <v>1000</v>
      </c>
      <c r="E84" s="35" t="inlineStr">
        <is>
          <t>ч</t>
        </is>
      </c>
      <c r="F84" s="36" t="inlineStr">
        <is>
          <t>t = 1000 ч</t>
        </is>
      </c>
    </row>
    <row r="86" ht="20" customHeight="1">
      <c r="B86" s="30" t="inlineStr">
        <is>
          <t>Таблица 2. Расчет показателей надежности</t>
        </is>
      </c>
    </row>
    <row r="87" ht="24" customHeight="1">
      <c r="B87" s="37" t="inlineStr">
        <is>
          <t>Определяемый показатель</t>
        </is>
      </c>
      <c r="C87" s="37" t="inlineStr">
        <is>
          <t>Обозначение</t>
        </is>
      </c>
      <c r="D87" s="37" t="inlineStr">
        <is>
          <t>Математическая формула</t>
        </is>
      </c>
      <c r="E87" s="37" t="inlineStr">
        <is>
          <t>Значение (формула Excel)</t>
        </is>
      </c>
      <c r="F87" s="37" t="inlineStr">
        <is>
          <t>Ед. изм.</t>
        </is>
      </c>
      <c r="G87" s="37" t="inlineStr">
        <is>
          <t>Пояснение к результату</t>
        </is>
      </c>
    </row>
    <row r="88" ht="22" customHeight="1">
      <c r="B88" s="32" t="inlineStr">
        <is>
          <t>Показатель степени (λ · t)</t>
        </is>
      </c>
      <c r="C88" s="33" t="inlineStr">
        <is>
          <t>lt</t>
        </is>
      </c>
      <c r="D88" s="38" t="inlineStr">
        <is>
          <t>λ · t</t>
        </is>
      </c>
      <c r="E88" s="18">
        <f>D83*D84</f>
        <v/>
      </c>
      <c r="F88" s="35" t="inlineStr">
        <is>
          <t>—</t>
        </is>
      </c>
      <c r="G88" s="36" t="inlineStr">
        <is>
          <t>λ · t = 2.5·10⁻⁵ · 1000 = 0.0250</t>
        </is>
      </c>
    </row>
    <row r="89" ht="22" customHeight="1">
      <c r="B89" s="32" t="inlineStr">
        <is>
          <t>Вероятность безотказной работы</t>
        </is>
      </c>
      <c r="C89" s="33" t="inlineStr">
        <is>
          <t>p_1000</t>
        </is>
      </c>
      <c r="D89" s="38" t="inlineStr">
        <is>
          <t>EXP(-λ · t)</t>
        </is>
      </c>
      <c r="E89" s="18">
        <f>EXP(-E88)</f>
        <v/>
      </c>
      <c r="F89" s="35" t="inlineStr">
        <is>
          <t>—</t>
        </is>
      </c>
      <c r="G89" s="36" t="inlineStr">
        <is>
          <t>p(1000) = exp(-0.025) ≈ 0.9753 (по слайду 0.9753)</t>
        </is>
      </c>
    </row>
    <row r="90" ht="22" customHeight="1">
      <c r="B90" s="32" t="inlineStr">
        <is>
          <t>Вероятность отказа элемента</t>
        </is>
      </c>
      <c r="C90" s="33" t="inlineStr">
        <is>
          <t>q_1000</t>
        </is>
      </c>
      <c r="D90" s="38" t="inlineStr">
        <is>
          <t>1 - p(t)</t>
        </is>
      </c>
      <c r="E90" s="18">
        <f>1-E89</f>
        <v/>
      </c>
      <c r="F90" s="35" t="inlineStr">
        <is>
          <t>—</t>
        </is>
      </c>
      <c r="G90" s="36" t="inlineStr">
        <is>
          <t>q(1000) = 1 - 0.9753 = 0.0247 (по слайду 0.0247)</t>
        </is>
      </c>
    </row>
    <row r="91" ht="22" customHeight="1">
      <c r="B91" s="32" t="inlineStr">
        <is>
          <t>Частота отказов элемента</t>
        </is>
      </c>
      <c r="C91" s="33" t="inlineStr">
        <is>
          <t>f_1000</t>
        </is>
      </c>
      <c r="D91" s="38" t="inlineStr">
        <is>
          <t>λ · p(t)</t>
        </is>
      </c>
      <c r="E91" s="23">
        <f>D83*E89</f>
        <v/>
      </c>
      <c r="F91" s="35" t="inlineStr">
        <is>
          <t>1/ч</t>
        </is>
      </c>
      <c r="G91" s="36" t="inlineStr">
        <is>
          <t>f(1000) = 2.5·10⁻⁵ · 0.9753 ≈ 2.439·10⁻⁵ ч⁻¹</t>
        </is>
      </c>
    </row>
    <row r="92" ht="22" customHeight="1">
      <c r="B92" s="32" t="inlineStr">
        <is>
          <t>Среднее время безотказной работы</t>
        </is>
      </c>
      <c r="C92" s="33" t="inlineStr">
        <is>
          <t>mt</t>
        </is>
      </c>
      <c r="D92" s="38" t="inlineStr">
        <is>
          <t>1 / λ</t>
        </is>
      </c>
      <c r="E92" s="24">
        <f>1/D83</f>
        <v/>
      </c>
      <c r="F92" s="35" t="inlineStr">
        <is>
          <t>ч</t>
        </is>
      </c>
      <c r="G92" s="36" t="inlineStr">
        <is>
          <t>mt = 1 / (2.5·10⁻⁵) = 40 000 ч (по слайду 40000 ч)</t>
        </is>
      </c>
    </row>
    <row r="93" ht="24" customHeight="1">
      <c r="B93" s="39" t="inlineStr">
        <is>
          <t>ВЫВОД / ОТВЕТ: При t = 1000 ч: p(1000) = 0,9753; q(1000) = 0,0247; f(1000) = 2,439·10⁻⁵ 1/ч; mt = 40 000 ч. Полное 100% совпадение со слайдами 9–10.</t>
        </is>
      </c>
      <c r="C93" s="40" t="n"/>
      <c r="D93" s="40" t="n"/>
      <c r="E93" s="40" t="n"/>
      <c r="F93" s="40" t="n"/>
      <c r="G93" s="40" t="n"/>
    </row>
  </sheetData>
  <mergeCells count="18">
    <mergeCell ref="B3:G3"/>
    <mergeCell ref="B2:G2"/>
    <mergeCell ref="B7:G8"/>
    <mergeCell ref="B20:G20"/>
    <mergeCell ref="B59:G60"/>
    <mergeCell ref="B36:G36"/>
    <mergeCell ref="B40:G41"/>
    <mergeCell ref="B24:G25"/>
    <mergeCell ref="B23:G23"/>
    <mergeCell ref="B79:G80"/>
    <mergeCell ref="B4:G4"/>
    <mergeCell ref="B93:G93"/>
    <mergeCell ref="B75:G75"/>
    <mergeCell ref="B58:G58"/>
    <mergeCell ref="B78:G78"/>
    <mergeCell ref="B39:G39"/>
    <mergeCell ref="B55:G55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36" customWidth="1" min="4" max="4"/>
    <col width="28" customWidth="1" min="5" max="5"/>
    <col width="12" customWidth="1" min="6" max="6"/>
    <col width="52" customWidth="1" min="7" max="7"/>
  </cols>
  <sheetData>
    <row r="2" ht="30" customHeight="1">
      <c r="B2" s="1" t="inlineStr">
        <is>
          <t>ТЕОРЕТИЧЕСКИЙ СПРАВОЧНИК — АНАЛИТИЧЕСКАЯ НАДЕЖНОСТЬ</t>
        </is>
      </c>
      <c r="C2" s="2" t="n"/>
      <c r="D2" s="2" t="n"/>
      <c r="E2" s="2" t="n"/>
      <c r="F2" s="2" t="n"/>
      <c r="G2" s="2" t="n"/>
    </row>
    <row r="3" ht="24" customHeight="1">
      <c r="B3" s="3" t="inlineStr">
        <is>
          <t>Аналитическое определение количественных характеристик надежности изделия (ГОСТ 27.002 и тема 2)</t>
        </is>
      </c>
      <c r="C3" s="4" t="n"/>
      <c r="D3" s="4" t="n"/>
      <c r="E3" s="4" t="n"/>
      <c r="F3" s="4" t="n"/>
      <c r="G3" s="4" t="n"/>
    </row>
    <row r="4" ht="20" customHeight="1">
      <c r="B4" s="5" t="inlineStr">
        <is>
          <t>Определения, обозначения, математические формулы и физический смысл</t>
        </is>
      </c>
      <c r="C4" s="4" t="n"/>
      <c r="D4" s="4" t="n"/>
      <c r="E4" s="4" t="n"/>
      <c r="F4" s="4" t="n"/>
      <c r="G4" s="4" t="n"/>
    </row>
    <row r="6" ht="25" customHeight="1">
      <c r="B6" s="6" t="inlineStr">
        <is>
          <t>ОСНОВНЫЕ АНАЛИТИЧЕСКИЕ ХАРАКТЕРИСТИКИ НАДЕЖНОСТИ</t>
        </is>
      </c>
    </row>
    <row r="7" ht="26" customHeight="1">
      <c r="B7" s="7" t="inlineStr">
        <is>
          <t>Показатель надежности</t>
        </is>
      </c>
      <c r="C7" s="7" t="inlineStr">
        <is>
          <t>Обозначение</t>
        </is>
      </c>
      <c r="D7" s="7" t="inlineStr">
        <is>
          <t>Общая формула</t>
        </is>
      </c>
      <c r="E7" s="7" t="inlineStr">
        <is>
          <t>Формула при эксп. законе</t>
        </is>
      </c>
      <c r="F7" s="7" t="inlineStr">
        <is>
          <t>Ед. изм.</t>
        </is>
      </c>
      <c r="G7" s="7" t="inlineStr">
        <is>
          <t>Физический смысл и пояснение</t>
        </is>
      </c>
    </row>
    <row r="8" ht="28" customHeight="1">
      <c r="B8" s="50" t="inlineStr">
        <is>
          <t>Вероятность безотказной работы</t>
        </is>
      </c>
      <c r="C8" s="8" t="inlineStr">
        <is>
          <t>p(t)</t>
        </is>
      </c>
      <c r="D8" s="10" t="inlineStr">
        <is>
          <t>p(t) = exp(-∫λ(t)dt) = 1 - ∫f(t)dt</t>
        </is>
      </c>
      <c r="E8" s="50" t="inlineStr">
        <is>
          <t>p(t) = e^(-λ·t)</t>
        </is>
      </c>
      <c r="F8" s="12" t="inlineStr">
        <is>
          <t>—</t>
        </is>
      </c>
      <c r="G8" s="51" t="inlineStr">
        <is>
          <t>Вероятность того, что в пределах заданной наработки t отказ объекта не возникнет</t>
        </is>
      </c>
    </row>
    <row r="9" ht="28" customHeight="1">
      <c r="B9" s="52" t="inlineStr">
        <is>
          <t>Вероятность отказа изделия</t>
        </is>
      </c>
      <c r="C9" s="15" t="inlineStr">
        <is>
          <t>q(t)</t>
        </is>
      </c>
      <c r="D9" s="17" t="inlineStr">
        <is>
          <t>q(t) = 1 - p(t)</t>
        </is>
      </c>
      <c r="E9" s="52" t="inlineStr">
        <is>
          <t>q(t) = 1 - e^(-λ·t)</t>
        </is>
      </c>
      <c r="F9" s="19" t="inlineStr">
        <is>
          <t>—</t>
        </is>
      </c>
      <c r="G9" s="53" t="inlineStr">
        <is>
          <t>Вероятность того, что объект откажет хотя бы один раз за время от 0 до t</t>
        </is>
      </c>
    </row>
    <row r="10" ht="28" customHeight="1">
      <c r="B10" s="50" t="inlineStr">
        <is>
          <t>Частота отказов (плотность)</t>
        </is>
      </c>
      <c r="C10" s="8" t="inlineStr">
        <is>
          <t>f(t)</t>
        </is>
      </c>
      <c r="D10" s="10" t="inlineStr">
        <is>
          <t>f(t) = -dp(t)/dt = dq(t)/dt</t>
        </is>
      </c>
      <c r="E10" s="50" t="inlineStr">
        <is>
          <t>f(t) = λ · e^(-λ·t) = λ · p(t)</t>
        </is>
      </c>
      <c r="F10" s="12" t="inlineStr">
        <is>
          <t>1/ч</t>
        </is>
      </c>
      <c r="G10" s="51" t="inlineStr">
        <is>
          <t>Плотность вероятности возникновения отказа невосстанавливаемого объекта в момент t</t>
        </is>
      </c>
    </row>
    <row r="11" ht="28" customHeight="1">
      <c r="B11" s="52" t="inlineStr">
        <is>
          <t>Интенсивность отказов</t>
        </is>
      </c>
      <c r="C11" s="15" t="inlineStr">
        <is>
          <t>λ(t)</t>
        </is>
      </c>
      <c r="D11" s="17" t="inlineStr">
        <is>
          <t>λ(t) = f(t) / p(t) = -(1/p)·dp/dt</t>
        </is>
      </c>
      <c r="E11" s="52" t="inlineStr">
        <is>
          <t>λ(t) = λ = const</t>
        </is>
      </c>
      <c r="F11" s="19" t="inlineStr">
        <is>
          <t>1/ч</t>
        </is>
      </c>
      <c r="G11" s="53" t="inlineStr">
        <is>
          <t>Условная плотность вероятности отказа объекта в момент t при условии безотказной работы до t</t>
        </is>
      </c>
    </row>
    <row r="12" ht="28" customHeight="1">
      <c r="B12" s="50" t="inlineStr">
        <is>
          <t>Средняя наработка до отказа</t>
        </is>
      </c>
      <c r="C12" s="8" t="inlineStr">
        <is>
          <t>mt</t>
        </is>
      </c>
      <c r="D12" s="10" t="inlineStr">
        <is>
          <t>mt = ∫ p(t) dt  (от 0 до ∞)</t>
        </is>
      </c>
      <c r="E12" s="50" t="inlineStr">
        <is>
          <t>mt = 1 / λ</t>
        </is>
      </c>
      <c r="F12" s="12" t="inlineStr">
        <is>
          <t>ч</t>
        </is>
      </c>
      <c r="G12" s="51" t="inlineStr">
        <is>
          <t>Математическое ожидание времени безотказной работы объекта</t>
        </is>
      </c>
    </row>
    <row r="14" ht="25" customHeight="1">
      <c r="B14" s="6" t="inlineStr">
        <is>
          <t>ОСОБЕННОСТИ ЭКСПОНЕНЦИАЛЬНОГО ЗАКОНА И СИСТЕМНОЙ НАДЕЖНОСТИ</t>
        </is>
      </c>
    </row>
    <row r="15" ht="26" customHeight="1">
      <c r="B15" s="54" t="inlineStr">
        <is>
          <t>Свойство отсутствия последействия (старения):</t>
        </is>
      </c>
      <c r="C15" s="55" t="inlineStr">
        <is>
          <t>P(t + τ | t) = P(τ) = exp(-λ · τ). Объект не изнашивается и не стареет; надежность зависит только от длительности предстоящей работы.</t>
        </is>
      </c>
      <c r="D15" s="56" t="n"/>
      <c r="E15" s="56" t="n"/>
      <c r="F15" s="56" t="n"/>
      <c r="G15" s="56" t="n"/>
    </row>
    <row r="16" ht="26" customHeight="1">
      <c r="B16" s="54" t="inlineStr">
        <is>
          <t>Постоянство интенсивности отказов:</t>
        </is>
      </c>
      <c r="C16" s="55" t="inlineStr">
        <is>
          <t>λ(t) = λ = const на всем периоде нормальной эксплуатации изделия (участок II кривой интенсивности отказов).</t>
        </is>
      </c>
      <c r="D16" s="56" t="n"/>
      <c r="E16" s="56" t="n"/>
      <c r="F16" s="56" t="n"/>
      <c r="G16" s="56" t="n"/>
    </row>
    <row r="17" ht="26" customHeight="1">
      <c r="B17" s="54" t="inlineStr">
        <is>
          <t>Связь средней наработки и интенсивности:</t>
        </is>
      </c>
      <c r="C17" s="55" t="inlineStr">
        <is>
          <t>mt = 1 / λ   &lt;=&gt;   λ = 1 / mt. Если средняя наработка известна, интенсивность отказов находится обратным делением.</t>
        </is>
      </c>
      <c r="D17" s="56" t="n"/>
      <c r="E17" s="56" t="n"/>
      <c r="F17" s="56" t="n"/>
      <c r="G17" s="56" t="n"/>
    </row>
    <row r="18" ht="26" customHeight="1">
      <c r="B18" s="54" t="inlineStr">
        <is>
          <t>Последовательное соединение n элементов:</t>
        </is>
      </c>
      <c r="C18" s="55" t="inlineStr">
        <is>
          <t>λc = Σ λi (теорема сложения интенсивностей); для одинаковых элементов: λc = n · λср.</t>
        </is>
      </c>
      <c r="D18" s="56" t="n"/>
      <c r="E18" s="56" t="n"/>
      <c r="F18" s="56" t="n"/>
      <c r="G18" s="56" t="n"/>
    </row>
    <row r="19" ht="26" customHeight="1">
      <c r="B19" s="54" t="inlineStr">
        <is>
          <t>Вероятность безотказной работы системы:</t>
        </is>
      </c>
      <c r="C19" s="55" t="inlineStr">
        <is>
          <t>Pc(t) = Π Pi(t) = exp(-λc · t) = exp(-Σ λi · t); для одинаковых элементов: Pc(t) = [P(t)]ⁿ = exp(-n · λср · t).</t>
        </is>
      </c>
      <c r="D19" s="56" t="n"/>
      <c r="E19" s="56" t="n"/>
      <c r="F19" s="56" t="n"/>
      <c r="G19" s="56" t="n"/>
    </row>
    <row r="20" ht="26" customHeight="1">
      <c r="B20" s="54" t="inlineStr">
        <is>
          <t>Средняя наработка последовательной системы:</t>
        </is>
      </c>
      <c r="C20" s="55" t="inlineStr">
        <is>
          <t>mtc = 1 / λc = 1 / (Σ 1 / mti). Средняя наработка системы всегда меньше средней наработки самого ненадежного элемента!</t>
        </is>
      </c>
      <c r="D20" s="56" t="n"/>
      <c r="E20" s="56" t="n"/>
      <c r="F20" s="56" t="n"/>
      <c r="G20" s="56" t="n"/>
    </row>
  </sheetData>
  <mergeCells count="9">
    <mergeCell ref="B3:G3"/>
    <mergeCell ref="B2:G2"/>
    <mergeCell ref="C20:G20"/>
    <mergeCell ref="C16:G16"/>
    <mergeCell ref="C15:G15"/>
    <mergeCell ref="B4:G4"/>
    <mergeCell ref="C19:G19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2026-10-13T07:08:57Z</dcterms:created>
  <dcterms:modified xmlns:dcterms="http://purl.org/dc/terms/" xmlns:xsi="http://www.w3.org/2001/XMLSchema-instance" xsi:type="dcterms:W3CDTF">2026-10-13T07:08:57Z</dcterms:modified>
</cp:coreProperties>
</file>